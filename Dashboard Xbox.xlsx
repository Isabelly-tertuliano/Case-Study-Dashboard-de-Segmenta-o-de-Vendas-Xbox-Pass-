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eli\Downloads\"/>
    </mc:Choice>
  </mc:AlternateContent>
  <xr:revisionPtr revIDLastSave="0" documentId="8_{C4502180-E5A2-4BA5-9A5A-F927E9929ABD}" xr6:coauthVersionLast="47" xr6:coauthVersionMax="47" xr10:uidLastSave="{00000000-0000-0000-0000-000000000000}"/>
  <bookViews>
    <workbookView xWindow="-120" yWindow="-120" windowWidth="20730" windowHeight="11160" activeTab="6" xr2:uid="{28DD5B76-0634-4F87-BE60-8BFA7EF2E23B}"/>
  </bookViews>
  <sheets>
    <sheet name="A̳ssets" sheetId="1" r:id="rId1"/>
    <sheet name="B̳ases" sheetId="2" r:id="rId2"/>
    <sheet name="Annual" sheetId="9" r:id="rId3"/>
    <sheet name="Monthly" sheetId="8" r:id="rId4"/>
    <sheet name="Quarterly" sheetId="7" r:id="rId5"/>
    <sheet name="C̳álculos" sheetId="3" r:id="rId6"/>
    <sheet name="D̳ashboard" sheetId="4" r:id="rId7"/>
  </sheets>
  <definedNames>
    <definedName name="SegmentaçãodeDados_Subscription_Type">#N/A</definedName>
  </definedNames>
  <calcPr calcId="18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3" l="1"/>
  <c r="K10" i="3"/>
  <c r="H19" i="3"/>
</calcChain>
</file>

<file path=xl/sharedStrings.xml><?xml version="1.0" encoding="utf-8"?>
<sst xmlns="http://schemas.openxmlformats.org/spreadsheetml/2006/main" count="2045" uniqueCount="329">
  <si>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</si>
  <si>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</si>
  <si>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</si>
  <si>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</si>
  <si>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</si>
  <si>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</si>
  <si>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</si>
  <si>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</si>
  <si>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</si>
  <si>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</si>
  <si>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</si>
  <si>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</si>
  <si>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</si>
  <si>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</si>
  <si>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</si>
  <si>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</si>
  <si>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</si>
  <si>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</si>
  <si>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</si>
  <si>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</si>
  <si>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</si>
  <si>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</si>
  <si>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</si>
  <si>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</si>
  <si>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</si>
  <si>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</si>
  <si>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</si>
  <si>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</si>
  <si>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</si>
  <si>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</si>
  <si>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</si>
  <si>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</si>
  <si>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</si>
  <si>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</si>
  <si>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</si>
  <si>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</si>
  <si>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</si>
  <si>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</si>
  <si>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</si>
  <si>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</si>
  <si>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</si>
  <si>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</si>
  <si>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</si>
  <si>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</si>
  <si>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</si>
  <si>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</si>
  <si>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</si>
  <si>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</si>
  <si>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</si>
  <si>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</si>
  <si>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</si>
  <si>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</si>
  <si>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</si>
  <si>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</si>
  <si>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</si>
  <si>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</si>
  <si>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</si>
  <si>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</si>
  <si>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</si>
  <si>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</si>
  <si>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</si>
  <si>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</si>
  <si>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</si>
  <si>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</si>
  <si>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</si>
  <si>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</si>
  <si>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</si>
  <si>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</si>
  <si>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</si>
  <si>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</si>
  <si>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</si>
  <si>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</si>
  <si>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</si>
  <si>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</si>
  <si>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</si>
  <si>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</si>
  <si>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</si>
  <si>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</si>
  <si>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</si>
  <si>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</si>
  <si>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</si>
  <si>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</si>
  <si>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</si>
  <si>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</si>
  <si>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</si>
  <si>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</si>
  <si>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</si>
  <si>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</si>
  <si>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</si>
  <si>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</si>
  <si>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</si>
  <si>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</si>
  <si>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</si>
  <si>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</si>
  <si>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</si>
  <si>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</si>
  <si>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</si>
  <si>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</si>
  <si>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</si>
  <si>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</si>
  <si>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</si>
  <si>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</si>
  <si>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</si>
  <si>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</si>
  <si>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</si>
  <si>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</si>
  <si>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</si>
  <si>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</si>
  <si>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</si>
  <si>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</si>
  <si>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</si>
  <si>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</si>
  <si>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</si>
  <si>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</si>
  <si>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</si>
  <si>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</si>
  <si>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</si>
  <si>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</si>
  <si>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</si>
  <si>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</si>
  <si>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</si>
  <si>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</si>
  <si>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</si>
  <si>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</si>
  <si>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</si>
  <si>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</si>
  <si>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</si>
  <si>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</si>
  <si>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</si>
  <si>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</si>
  <si>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</si>
  <si>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</si>
  <si>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</si>
  <si>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</si>
  <si>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</si>
  <si>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</si>
  <si>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</si>
  <si>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</si>
  <si>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</si>
  <si>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</si>
  <si>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</si>
  <si>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</si>
  <si>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</si>
  <si>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</si>
  <si>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</si>
  <si>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</si>
  <si>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</si>
  <si>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</si>
  <si>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</si>
  <si>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</si>
  <si>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</si>
  <si>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</si>
  <si>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</si>
  <si>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</si>
  <si>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</si>
  <si>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</si>
  <si>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</si>
  <si>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</si>
  <si>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</si>
  <si>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</si>
  <si>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</si>
  <si>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</si>
  <si>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</si>
  <si>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</si>
  <si>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</si>
  <si>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</si>
  <si>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</si>
  <si>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</si>
  <si>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</si>
  <si>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</si>
  <si>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</si>
  <si>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</si>
  <si>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</si>
  <si>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</si>
  <si>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</si>
  <si>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</si>
  <si>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</si>
  <si>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</si>
  <si>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</si>
  <si>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</si>
  <si>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</si>
  <si>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</si>
  <si>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</si>
  <si>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</si>
  <si>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</si>
  <si>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</si>
  <si>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</si>
  <si>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</si>
  <si>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</si>
  <si>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</si>
  <si>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</si>
  <si>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</si>
  <si>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</si>
  <si>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</si>
  <si>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</si>
  <si>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</si>
  <si>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</si>
  <si>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</si>
  <si>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</si>
  <si>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</si>
  <si>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</si>
  <si>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</si>
  <si>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</si>
  <si>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</si>
  <si>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</si>
  <si>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</si>
  <si>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</si>
  <si>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</si>
  <si>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</si>
  <si>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</si>
  <si>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</si>
  <si>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</si>
  <si>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</si>
  <si>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</si>
  <si>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</si>
  <si>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</si>
  <si>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</si>
  <si>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</si>
  <si>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</si>
  <si>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</si>
  <si>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</si>
  <si>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</si>
  <si>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</si>
  <si>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</si>
  <si>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</si>
  <si>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</si>
  <si>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</si>
  <si>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</si>
  <si>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</si>
  <si>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</si>
  <si>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</si>
  <si>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</si>
  <si>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</si>
  <si>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</si>
  <si>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</si>
  <si>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</si>
  <si>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</si>
  <si>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</si>
  <si>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</si>
  <si>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</si>
  <si>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</si>
  <si>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</si>
  <si>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</si>
  <si>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</si>
  <si>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</si>
  <si>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</si>
  <si>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</si>
  <si>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</si>
  <si>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</si>
  <si>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</si>
  <si>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</si>
  <si>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</si>
  <si>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</si>
  <si>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</si>
  <si>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</si>
  <si>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</si>
  <si>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</si>
  <si>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</si>
  <si>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</si>
  <si>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</si>
  <si>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</si>
  <si>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</si>
  <si>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</si>
  <si>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</si>
  <si>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</si>
  <si>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</si>
  <si>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</si>
  <si>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</si>
  <si>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</si>
  <si>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</si>
  <si>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</si>
  <si>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</si>
  <si>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</si>
  <si>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</si>
  <si>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</si>
  <si>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</si>
  <si>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</si>
  <si>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</si>
  <si>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</si>
  <si>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</si>
  <si>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</si>
  <si>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</si>
  <si>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</si>
  <si>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</si>
  <si>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</si>
  <si>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</si>
  <si>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</si>
  <si>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</si>
  <si>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</si>
  <si>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</si>
  <si>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</si>
  <si>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</si>
  <si>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</si>
  <si>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</si>
  <si>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</si>
  <si>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</si>
  <si>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</si>
  <si>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</si>
  <si>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</si>
  <si>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</si>
  <si>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</si>
  <si>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</si>
  <si>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</si>
  <si>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</si>
  <si>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</si>
  <si>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</si>
  <si>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</si>
  <si>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</si>
  <si>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</si>
  <si>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</si>
  <si>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</si>
  <si>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</si>
  <si>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</si>
  <si>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1 - Qual o faturamento total de vendas anuais (contendo todas as assinaturas agregadas)</t>
  </si>
  <si>
    <t>Soma de Total Value</t>
  </si>
  <si>
    <t>Total Geral</t>
  </si>
  <si>
    <t>Tbl_anual_total</t>
  </si>
  <si>
    <t>(Tudo)</t>
  </si>
  <si>
    <t>Pergunta 2 - Qual o faturamento total de vendas dos planos anuais, separados por auto renovação e não auto renovação.</t>
  </si>
  <si>
    <t xml:space="preserve"> </t>
  </si>
  <si>
    <t>Soma de EA Play Season Pass</t>
  </si>
  <si>
    <t>Tbl_Eaplayseasonpass_total</t>
  </si>
  <si>
    <t>Soma de Minecraft Season Pass Price</t>
  </si>
  <si>
    <t>Segmentação de Vendas</t>
  </si>
  <si>
    <t>Olá, Bem-vinda, Isabelly!</t>
  </si>
  <si>
    <t xml:space="preserve">XBOX PASS SEGMENTAÇÃO DE VENDAS </t>
  </si>
  <si>
    <t>Período de apuração: 01/01/2024 - 31/12/2024 | Última atualização: 25/12/2024</t>
  </si>
  <si>
    <t>Pergunta 3 - total de vendas de assinaturas da EA play pass</t>
  </si>
  <si>
    <t>Pergunta 4 - total de vendas de assinaturas da Minecraft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</si>
</sst>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theme="4"/>
      <name val="Aptos Narrow"/>
      <family val="2"/>
      <scheme val="minor"/>
    </font>
    <font>
      <b/>
      <u/>
      <sz val="11"/>
      <color theme="4"/>
      <name val="Aptos Narrow"/>
      <family val="2"/>
      <scheme val="minor"/>
    </font>
    <font>
      <b/>
      <sz val="15"/>
      <color rgb="FF22C55E"/>
      <name val="Segoe UI Semilight"/>
      <family val="2"/>
    </font>
    <font>
      <sz val="26"/>
      <color theme="1"/>
      <name val="Aptos Narrow"/>
      <family val="2"/>
      <scheme val="minor"/>
    </font>
    <font>
      <b/>
      <sz val="24"/>
      <color rgb="FF22C55E"/>
      <name val="Segoe UI Semilight"/>
      <family val="2"/>
    </font>
    <font>
      <b/>
      <sz val="12"/>
      <color theme="0"/>
      <name val="Aptos Narrow"/>
      <family val="2"/>
      <scheme val="minor"/>
    </font>
    <font>
      <i/>
      <sz val="12"/>
      <color theme="1" tint="0.499984740745262"/>
      <name val="Segoe UI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/>
      <top style="thick">
        <color rgb="FF22C55E"/>
      </top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7" fillId="0" borderId="1">
      <alignment horizontal="left"/>
    </xf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0" fontId="6" fillId="8" borderId="0" xfId="0" applyFont="1" applyFill="1" applyAlignment="1">
      <alignment horizontal="left" vertical="center"/>
    </xf>
    <xf numFmtId="0" fontId="5" fillId="4" borderId="0" xfId="0" applyFont="1" applyFill="1"/>
    <xf numFmtId="164" fontId="0" fillId="0" borderId="0" xfId="0" applyNumberFormat="1"/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left" indent="2"/>
    </xf>
    <xf numFmtId="164" fontId="8" fillId="7" borderId="0" xfId="0" applyNumberFormat="1" applyFont="1" applyFill="1" applyAlignment="1">
      <alignment horizontal="center" vertical="center"/>
    </xf>
    <xf numFmtId="0" fontId="9" fillId="0" borderId="2" xfId="3" applyFont="1" applyBorder="1" applyAlignment="1">
      <alignment horizontal="left"/>
    </xf>
    <xf numFmtId="0" fontId="11" fillId="8" borderId="3" xfId="0" applyFont="1" applyFill="1" applyBorder="1" applyAlignment="1">
      <alignment horizontal="left"/>
    </xf>
  </cellXfs>
  <cellStyles count="5">
    <cellStyle name="Estilo 1" xfId="4" xr:uid="{61B4F0EF-AFD3-41CA-8B8C-3F7B590F43D6}"/>
    <cellStyle name="Moeda" xfId="2" builtinId="4"/>
    <cellStyle name="Normal" xfId="0" builtinId="0"/>
    <cellStyle name="Título" xfId="3" builtinId="15"/>
    <cellStyle name="Título 1" xfId="1" builtinId="16"/>
  </cellStyles>
  <dxfs count="28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u val="none"/>
        <sz val="11"/>
        <color theme="1"/>
        <name val="Segoe UI Light"/>
        <family val="2"/>
        <scheme val="none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name val="Segoe UI Light"/>
        <family val="2"/>
        <scheme val="none"/>
      </font>
      <fill>
        <patternFill patternType="solid">
          <fgColor indexed="64"/>
          <bgColor rgb="FF22C55E"/>
        </patternFill>
      </fill>
    </dxf>
  </dxfs>
  <tableStyles count="1" defaultTableStyle="TableStyleMedium2" defaultPivotStyle="PivotStyleLight16">
    <tableStyle name="Estilo de Segmentação de Dados 1" pivot="0" table="0" count="9" xr9:uid="{F43C8697-A289-4483-92C2-EA48C638CA49}">
      <tableStyleElement type="wholeTable" dxfId="27"/>
      <tableStyleElement type="headerRow" dxfId="26"/>
    </tableStyle>
  </tableStyles>
  <colors>
    <mruColors>
      <color rgb="FF22C55E"/>
      <color rgb="FFE8E6E9"/>
      <color rgb="FFFFFFFF"/>
      <color rgb="FF2AE6B1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7">
        <dxf>
          <font>
            <b/>
            <i val="0"/>
            <color theme="1"/>
            <name val="Segoe UI Light"/>
            <family val="2"/>
            <scheme val="none"/>
          </font>
          <fill>
            <patternFill>
              <fgColor rgb="FF22C55E"/>
              <bgColor theme="0"/>
            </patternFill>
          </fill>
        </dxf>
        <dxf>
          <font>
            <b/>
            <i val="0"/>
            <color theme="1"/>
            <name val="Segoe UI Light"/>
            <family val="2"/>
            <scheme val="none"/>
          </font>
          <fill>
            <patternFill>
              <fgColor rgb="FF22C55E"/>
              <bgColor theme="2" tint="-9.9948118533890809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1"/>
            <name val="Segoe UI Light"/>
            <family val="2"/>
            <scheme val="none"/>
          </font>
          <fill>
            <patternFill>
              <fgColor rgb="FF22C55E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1"/>
            <name val="Segoe UI Light"/>
            <family val="2"/>
            <scheme val="none"/>
          </font>
          <fill>
            <patternFill patternType="solid">
              <fgColor rgb="FF22C55E"/>
              <bgColor rgb="FF22C55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1"/>
            <name val="Segoe UI Light"/>
            <family val="2"/>
            <scheme val="none"/>
          </font>
          <fill>
            <patternFill>
              <fgColor rgb="FF22C55E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color theme="1"/>
            <name val="Segoe UI Light"/>
            <family val="2"/>
            <scheme val="none"/>
          </font>
          <fill>
            <patternFill>
              <bgColor theme="0"/>
            </patternFill>
          </fill>
        </dxf>
        <dxf>
          <font>
            <b/>
            <i val="0"/>
            <color theme="1"/>
            <name val="Segoe UI Light"/>
            <family val="2"/>
            <scheme val="none"/>
          </font>
          <fill>
            <patternFill>
              <fgColor rgb="FF22C55E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6"/>
            <x14:slicerStyleElement type="unselectedItemWithNo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Xbox.xlsx]C̳álculos!Tbl_anual_total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&quot;R$&quot;\ #,##0.00;[Red]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6461367893871618E-2"/>
                  <c:h val="9.7060766330698614E-2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>
              <a:outerShdw blurRad="50800" dist="50800" dir="5400000" algn="ctr" rotWithShape="0">
                <a:schemeClr val="bg1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6461367893871618E-2"/>
                  <c:h val="8.6276236738398765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0974351458925378E-2"/>
          <c:y val="0.12744791989005028"/>
          <c:w val="0.92737083338643156"/>
          <c:h val="0.695663086268841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35-4A36-A88A-D1429CAF461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635-4A36-A88A-D1429CAF461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>
                  <a:outerShdw blurRad="50800" dist="50800" dir="5400000" algn="ctr" rotWithShape="0">
                    <a:schemeClr val="bg1"/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461367893871618E-2"/>
                      <c:h val="8.62762367383987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635-4A36-A88A-D1429CAF461E}"/>
                </c:ext>
              </c:extLst>
            </c:dLbl>
            <c:dLbl>
              <c:idx val="1"/>
              <c:numFmt formatCode="&quot;R$&quot;\ #,##0.00;[Red]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461367893871618E-2"/>
                      <c:h val="9.70607663306986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635-4A36-A88A-D1429CAF46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5-4F42-AF67-B4425BB0D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4733832"/>
        <c:axId val="414734192"/>
      </c:barChart>
      <c:catAx>
        <c:axId val="414733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4734192"/>
        <c:crosses val="autoZero"/>
        <c:auto val="1"/>
        <c:lblAlgn val="ctr"/>
        <c:lblOffset val="100"/>
        <c:noMultiLvlLbl val="0"/>
      </c:catAx>
      <c:valAx>
        <c:axId val="41473419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14733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2122715</xdr:colOff>
      <xdr:row>0</xdr:row>
      <xdr:rowOff>0</xdr:rowOff>
    </xdr:from>
    <xdr:to>
      <xdr:col>2</xdr:col>
      <xdr:colOff>163287</xdr:colOff>
      <xdr:row>4</xdr:row>
      <xdr:rowOff>100043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E031001-8E5B-4EC3-9D0A-C4A77FA196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51" t="12930" r="71795" b="14041"/>
        <a:stretch>
          <a:fillRect/>
        </a:stretch>
      </xdr:blipFill>
      <xdr:spPr>
        <a:xfrm>
          <a:off x="2122715" y="0"/>
          <a:ext cx="1034143" cy="120222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333375</xdr:rowOff>
    </xdr:from>
    <xdr:to>
      <xdr:col>0</xdr:col>
      <xdr:colOff>2721429</xdr:colOff>
      <xdr:row>14</xdr:row>
      <xdr:rowOff>31749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4541F82C-F35E-4C5C-8CD5-D9C33AD840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16554"/>
              <a:ext cx="2721429" cy="145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210152</xdr:colOff>
      <xdr:row>2</xdr:row>
      <xdr:rowOff>46114</xdr:rowOff>
    </xdr:from>
    <xdr:to>
      <xdr:col>16</xdr:col>
      <xdr:colOff>432025</xdr:colOff>
      <xdr:row>12</xdr:row>
      <xdr:rowOff>159884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400BF336-C742-E834-A4C3-5D282594BF5D}"/>
            </a:ext>
          </a:extLst>
        </xdr:cNvPr>
        <xdr:cNvGrpSpPr/>
      </xdr:nvGrpSpPr>
      <xdr:grpSpPr>
        <a:xfrm>
          <a:off x="7816545" y="944185"/>
          <a:ext cx="4331230" cy="2073199"/>
          <a:chOff x="2455333" y="1344082"/>
          <a:chExt cx="3873500" cy="1651002"/>
        </a:xfrm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E2895F01-D0AF-1A49-6652-1F3DEFE784C9}"/>
              </a:ext>
            </a:extLst>
          </xdr:cNvPr>
          <xdr:cNvGrpSpPr/>
        </xdr:nvGrpSpPr>
        <xdr:grpSpPr>
          <a:xfrm>
            <a:off x="2465917" y="1534585"/>
            <a:ext cx="3862916" cy="1460499"/>
            <a:chOff x="2465917" y="1534585"/>
            <a:chExt cx="3862916" cy="1460499"/>
          </a:xfrm>
        </xdr:grpSpPr>
        <xdr:sp macro="" textlink="C̳álculos!H19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2C501741-76C6-45E1-B6EE-C70F1F9A29EA}"/>
                </a:ext>
              </a:extLst>
            </xdr:cNvPr>
            <xdr:cNvSpPr/>
          </xdr:nvSpPr>
          <xdr:spPr>
            <a:xfrm>
              <a:off x="2465917" y="1534585"/>
              <a:ext cx="3862916" cy="1422400"/>
            </a:xfrm>
            <a:prstGeom prst="roundRect">
              <a:avLst>
                <a:gd name="adj" fmla="val 614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endParaRPr lang="pt-BR" sz="2800">
                <a:latin typeface="Segoe UI Semilight" panose="020B0402040204020203" pitchFamily="34" charset="0"/>
                <a:cs typeface="Segoe UI Semilight" panose="020B0402040204020203" pitchFamily="34" charset="0"/>
              </a:endParaRPr>
            </a:p>
          </xdr:txBody>
        </xdr:sp>
        <xdr:sp macro="" textlink="C̳álculos!H19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B3899282-C2E4-5855-437A-56A8211C3909}"/>
                </a:ext>
              </a:extLst>
            </xdr:cNvPr>
            <xdr:cNvSpPr/>
          </xdr:nvSpPr>
          <xdr:spPr>
            <a:xfrm>
              <a:off x="3852333" y="1778001"/>
              <a:ext cx="2317751" cy="1217083"/>
            </a:xfrm>
            <a:prstGeom prst="roundRect">
              <a:avLst>
                <a:gd name="adj" fmla="val 6141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5E6DCDEE-05BA-4462-9ABF-D85750CDC2AF}" type="TxLink">
                <a:rPr lang="en-US" sz="3200" b="1" i="0" u="none" strike="noStrike">
                  <a:solidFill>
                    <a:srgbClr val="22C55E"/>
                  </a:solidFill>
                  <a:latin typeface="Segoe UI Semilight" panose="020B0402040204020203" pitchFamily="34" charset="0"/>
                  <a:cs typeface="Segoe UI Semilight" panose="020B0402040204020203" pitchFamily="34" charset="0"/>
                </a:rPr>
                <a:pPr algn="r"/>
                <a:t>R$ 2.940,00</a:t>
              </a:fld>
              <a:endParaRPr lang="pt-BR" sz="3200" b="1">
                <a:solidFill>
                  <a:srgbClr val="22C55E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endParaRPr>
            </a:p>
          </xdr:txBody>
        </xdr:sp>
        <xdr:pic>
          <xdr:nvPicPr>
            <xdr:cNvPr id="15" name="Imagem 14">
              <a:extLst>
                <a:ext uri="{FF2B5EF4-FFF2-40B4-BE49-F238E27FC236}">
                  <a16:creationId xmlns:a16="http://schemas.microsoft.com/office/drawing/2014/main" id="{A0C392E5-7A91-44E4-B6FE-33CE5E68DC2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21702" b="26214"/>
            <a:stretch>
              <a:fillRect/>
            </a:stretch>
          </xdr:blipFill>
          <xdr:spPr>
            <a:xfrm>
              <a:off x="2603499" y="2023685"/>
              <a:ext cx="1354666" cy="725715"/>
            </a:xfrm>
            <a:prstGeom prst="rect">
              <a:avLst/>
            </a:prstGeom>
          </xdr:spPr>
        </xdr:pic>
      </xdr:grpSp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6110260F-3040-1324-E909-56C7B9781F53}"/>
              </a:ext>
            </a:extLst>
          </xdr:cNvPr>
          <xdr:cNvSpPr/>
        </xdr:nvSpPr>
        <xdr:spPr>
          <a:xfrm>
            <a:off x="2455333" y="1344082"/>
            <a:ext cx="3862917" cy="402167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ysClr val="windowText" lastClr="000000"/>
                </a:solidFill>
              </a:rPr>
              <a:t>Total de Vendas</a:t>
            </a:r>
            <a:r>
              <a:rPr lang="pt-BR" sz="1400" b="1" baseline="0">
                <a:solidFill>
                  <a:sysClr val="windowText" lastClr="000000"/>
                </a:solidFill>
              </a:rPr>
              <a:t> de EA  </a:t>
            </a:r>
            <a:r>
              <a:rPr lang="pt-BR" sz="1400" b="1" baseline="0">
                <a:solidFill>
                  <a:sysClr val="windowText" lastClr="000000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t>Play</a:t>
            </a:r>
            <a:r>
              <a:rPr lang="pt-BR" sz="1400" b="1" baseline="0">
                <a:solidFill>
                  <a:sysClr val="windowText" lastClr="000000"/>
                </a:solidFill>
              </a:rPr>
              <a:t> Season Pass</a:t>
            </a:r>
            <a:endParaRPr lang="pt-BR" sz="14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17</xdr:col>
      <xdr:colOff>328272</xdr:colOff>
      <xdr:row>2</xdr:row>
      <xdr:rowOff>65014</xdr:rowOff>
    </xdr:from>
    <xdr:to>
      <xdr:col>25</xdr:col>
      <xdr:colOff>85045</xdr:colOff>
      <xdr:row>12</xdr:row>
      <xdr:rowOff>171790</xdr:rowOff>
    </xdr:to>
    <xdr:grpSp>
      <xdr:nvGrpSpPr>
        <xdr:cNvPr id="4099" name="Agrupar 4098">
          <a:extLst>
            <a:ext uri="{FF2B5EF4-FFF2-40B4-BE49-F238E27FC236}">
              <a16:creationId xmlns:a16="http://schemas.microsoft.com/office/drawing/2014/main" id="{383B2F34-3F2D-5105-6240-CC9DCEEDC13F}"/>
            </a:ext>
          </a:extLst>
        </xdr:cNvPr>
        <xdr:cNvGrpSpPr/>
      </xdr:nvGrpSpPr>
      <xdr:grpSpPr>
        <a:xfrm>
          <a:off x="12656343" y="963085"/>
          <a:ext cx="4791416" cy="2066205"/>
          <a:chOff x="6826249" y="1301750"/>
          <a:chExt cx="3873500" cy="1651002"/>
        </a:xfrm>
      </xdr:grpSpPr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B313B8C1-B086-4D06-A92D-5188DA175CC0}"/>
              </a:ext>
            </a:extLst>
          </xdr:cNvPr>
          <xdr:cNvGrpSpPr/>
        </xdr:nvGrpSpPr>
        <xdr:grpSpPr>
          <a:xfrm>
            <a:off x="6826249" y="1301750"/>
            <a:ext cx="3873500" cy="1651002"/>
            <a:chOff x="2455333" y="1344082"/>
            <a:chExt cx="3873500" cy="1651002"/>
          </a:xfrm>
        </xdr:grpSpPr>
        <xdr:grpSp>
          <xdr:nvGrpSpPr>
            <xdr:cNvPr id="27" name="Agrupar 26">
              <a:extLst>
                <a:ext uri="{FF2B5EF4-FFF2-40B4-BE49-F238E27FC236}">
                  <a16:creationId xmlns:a16="http://schemas.microsoft.com/office/drawing/2014/main" id="{1A269651-060B-F9C9-E78E-CEE8B8EACD41}"/>
                </a:ext>
              </a:extLst>
            </xdr:cNvPr>
            <xdr:cNvGrpSpPr/>
          </xdr:nvGrpSpPr>
          <xdr:grpSpPr>
            <a:xfrm>
              <a:off x="2465917" y="1534585"/>
              <a:ext cx="3862916" cy="1460499"/>
              <a:chOff x="2465917" y="1534585"/>
              <a:chExt cx="3862916" cy="1460499"/>
            </a:xfrm>
          </xdr:grpSpPr>
          <xdr:sp macro="" textlink="C̳álculos!X31">
            <xdr:nvSpPr>
              <xdr:cNvPr id="29" name="Retângulo: Cantos Arredondados 28">
                <a:extLst>
                  <a:ext uri="{FF2B5EF4-FFF2-40B4-BE49-F238E27FC236}">
                    <a16:creationId xmlns:a16="http://schemas.microsoft.com/office/drawing/2014/main" id="{8AD8B08F-741C-02FA-E517-372A1900529A}"/>
                  </a:ext>
                </a:extLst>
              </xdr:cNvPr>
              <xdr:cNvSpPr/>
            </xdr:nvSpPr>
            <xdr:spPr>
              <a:xfrm>
                <a:off x="2465917" y="1534585"/>
                <a:ext cx="3862916" cy="1422400"/>
              </a:xfrm>
              <a:prstGeom prst="roundRect">
                <a:avLst>
                  <a:gd name="adj" fmla="val 6141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r"/>
                <a:endParaRPr lang="pt-BR" sz="2800">
                  <a:latin typeface="Segoe UI Semilight" panose="020B0402040204020203" pitchFamily="34" charset="0"/>
                  <a:cs typeface="Segoe UI Semilight" panose="020B0402040204020203" pitchFamily="34" charset="0"/>
                </a:endParaRPr>
              </a:p>
            </xdr:txBody>
          </xdr:sp>
          <xdr:sp macro="" textlink="C̳álculos!K10">
            <xdr:nvSpPr>
              <xdr:cNvPr id="30" name="Retângulo: Cantos Arredondados 29">
                <a:extLst>
                  <a:ext uri="{FF2B5EF4-FFF2-40B4-BE49-F238E27FC236}">
                    <a16:creationId xmlns:a16="http://schemas.microsoft.com/office/drawing/2014/main" id="{706FEF5E-A258-4B9A-A152-0F280B887DA4}"/>
                  </a:ext>
                </a:extLst>
              </xdr:cNvPr>
              <xdr:cNvSpPr/>
            </xdr:nvSpPr>
            <xdr:spPr>
              <a:xfrm>
                <a:off x="3926417" y="1778001"/>
                <a:ext cx="2254250" cy="1217083"/>
              </a:xfrm>
              <a:prstGeom prst="roundRect">
                <a:avLst>
                  <a:gd name="adj" fmla="val 6141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9993CA7E-2EAC-4EDF-B46D-6D0AE80D96E5}" type="TxLink">
                  <a:rPr lang="en-US" sz="3200" b="0" i="0" u="none" strike="noStrike">
                    <a:solidFill>
                      <a:srgbClr val="22C55E"/>
                    </a:solidFill>
                    <a:latin typeface="Aptos Narrow"/>
                    <a:cs typeface="Segoe UI Semilight" panose="020B0402040204020203" pitchFamily="34" charset="0"/>
                  </a:rPr>
                  <a:pPr algn="ctr"/>
                  <a:t>R$ 3.880,00</a:t>
                </a:fld>
                <a:endParaRPr lang="pt-BR" sz="3200" b="1">
                  <a:solidFill>
                    <a:srgbClr val="22C55E"/>
                  </a:solidFill>
                  <a:latin typeface="Segoe UI Semilight" panose="020B0402040204020203" pitchFamily="34" charset="0"/>
                  <a:cs typeface="Segoe UI Semilight" panose="020B0402040204020203" pitchFamily="34" charset="0"/>
                </a:endParaRPr>
              </a:p>
            </xdr:txBody>
          </xdr:sp>
        </xdr:grpSp>
        <xdr:sp macro="" textlink="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296EBA91-1F66-7CEF-1005-3860BE7425AA}"/>
                </a:ext>
              </a:extLst>
            </xdr:cNvPr>
            <xdr:cNvSpPr/>
          </xdr:nvSpPr>
          <xdr:spPr>
            <a:xfrm>
              <a:off x="2455333" y="1344082"/>
              <a:ext cx="3862917" cy="402167"/>
            </a:xfrm>
            <a:prstGeom prst="round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solidFill>
                    <a:sysClr val="windowText" lastClr="000000"/>
                  </a:solidFill>
                </a:rPr>
                <a:t>Total de Vendas</a:t>
              </a:r>
              <a:r>
                <a:rPr lang="pt-BR" sz="1400" b="1" baseline="0">
                  <a:solidFill>
                    <a:sysClr val="windowText" lastClr="000000"/>
                  </a:solidFill>
                </a:rPr>
                <a:t> de Minecraft Season Pass</a:t>
              </a:r>
              <a:endParaRPr lang="pt-BR" sz="1400" b="1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4096" name="Agrupar 4095">
            <a:extLst>
              <a:ext uri="{FF2B5EF4-FFF2-40B4-BE49-F238E27FC236}">
                <a16:creationId xmlns:a16="http://schemas.microsoft.com/office/drawing/2014/main" id="{C3D3D9C8-B8F4-4402-88A2-3847AEC37324}"/>
              </a:ext>
            </a:extLst>
          </xdr:cNvPr>
          <xdr:cNvGrpSpPr/>
        </xdr:nvGrpSpPr>
        <xdr:grpSpPr>
          <a:xfrm>
            <a:off x="6984999" y="1983846"/>
            <a:ext cx="1333500" cy="646642"/>
            <a:chOff x="3495675" y="5400674"/>
            <a:chExt cx="1549476" cy="752476"/>
          </a:xfrm>
        </xdr:grpSpPr>
        <xdr:pic>
          <xdr:nvPicPr>
            <xdr:cNvPr id="4097" name="Imagem 4096">
              <a:extLst>
                <a:ext uri="{FF2B5EF4-FFF2-40B4-BE49-F238E27FC236}">
                  <a16:creationId xmlns:a16="http://schemas.microsoft.com/office/drawing/2014/main" id="{733FA6F5-34F6-4C23-28CA-EDCEF805A1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4098" name="Gráfico 4097">
              <a:extLst>
                <a:ext uri="{FF2B5EF4-FFF2-40B4-BE49-F238E27FC236}">
                  <a16:creationId xmlns:a16="http://schemas.microsoft.com/office/drawing/2014/main" id="{5E6A9E57-7149-C9B4-B141-2CA5AA94DC4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217715</xdr:colOff>
      <xdr:row>14</xdr:row>
      <xdr:rowOff>11906</xdr:rowOff>
    </xdr:from>
    <xdr:to>
      <xdr:col>25</xdr:col>
      <xdr:colOff>108857</xdr:colOff>
      <xdr:row>34</xdr:row>
      <xdr:rowOff>177007</xdr:rowOff>
    </xdr:to>
    <xdr:grpSp>
      <xdr:nvGrpSpPr>
        <xdr:cNvPr id="4113" name="Agrupar 4112">
          <a:extLst>
            <a:ext uri="{FF2B5EF4-FFF2-40B4-BE49-F238E27FC236}">
              <a16:creationId xmlns:a16="http://schemas.microsoft.com/office/drawing/2014/main" id="{CD4FB30B-6D42-3D48-A782-3589424C81AE}"/>
            </a:ext>
          </a:extLst>
        </xdr:cNvPr>
        <xdr:cNvGrpSpPr/>
      </xdr:nvGrpSpPr>
      <xdr:grpSpPr>
        <a:xfrm>
          <a:off x="2966358" y="3250406"/>
          <a:ext cx="14505213" cy="3975101"/>
          <a:chOff x="2966358" y="3127942"/>
          <a:chExt cx="10224067" cy="3975101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4F69789C-85D4-4E60-E078-2F12C70FC9EC}"/>
              </a:ext>
            </a:extLst>
          </xdr:cNvPr>
          <xdr:cNvGrpSpPr/>
        </xdr:nvGrpSpPr>
        <xdr:grpSpPr>
          <a:xfrm>
            <a:off x="2974861" y="3330348"/>
            <a:ext cx="10215564" cy="3772695"/>
            <a:chOff x="1802589" y="786580"/>
            <a:chExt cx="7024687" cy="3679032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EA4ADDE4-6098-58BA-9914-9A60712773A7}"/>
                </a:ext>
              </a:extLst>
            </xdr:cNvPr>
            <xdr:cNvSpPr/>
          </xdr:nvSpPr>
          <xdr:spPr>
            <a:xfrm>
              <a:off x="1802589" y="786580"/>
              <a:ext cx="7024687" cy="3679032"/>
            </a:xfrm>
            <a:prstGeom prst="roundRect">
              <a:avLst/>
            </a:prstGeom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A21460B4-3340-4D3E-A56E-721945E55652}"/>
                </a:ext>
              </a:extLst>
            </xdr:cNvPr>
            <xdr:cNvGraphicFramePr>
              <a:graphicFrameLocks/>
            </xdr:cNvGraphicFramePr>
          </xdr:nvGraphicFramePr>
          <xdr:xfrm>
            <a:off x="1988344" y="1176336"/>
            <a:ext cx="6475228" cy="325524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4104" name="Retângulo: Cantos Superiores Arredondados 4103">
            <a:extLst>
              <a:ext uri="{FF2B5EF4-FFF2-40B4-BE49-F238E27FC236}">
                <a16:creationId xmlns:a16="http://schemas.microsoft.com/office/drawing/2014/main" id="{79B94680-3E7E-B7DB-6F8F-7F61AAC32F30}"/>
              </a:ext>
            </a:extLst>
          </xdr:cNvPr>
          <xdr:cNvSpPr/>
        </xdr:nvSpPr>
        <xdr:spPr>
          <a:xfrm>
            <a:off x="2966358" y="3127942"/>
            <a:ext cx="10224065" cy="607219"/>
          </a:xfrm>
          <a:prstGeom prst="round2SameRect">
            <a:avLst>
              <a:gd name="adj1" fmla="val 166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solidFill>
                  <a:schemeClr val="tx1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t>Total</a:t>
            </a:r>
            <a:r>
              <a:rPr lang="pt-BR" sz="2000" b="1" baseline="0">
                <a:solidFill>
                  <a:schemeClr val="tx1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t> de Vendas XBOX GAME PASS - COM E SEM PANOS ANUAIS </a:t>
            </a:r>
            <a:endParaRPr lang="pt-BR" sz="2000" b="1">
              <a:solidFill>
                <a:schemeClr val="tx1"/>
              </a:solidFill>
              <a:latin typeface="Segoe UI Semilight" panose="020B0402040204020203" pitchFamily="34" charset="0"/>
              <a:cs typeface="Segoe UI Semilight" panose="020B0402040204020203" pitchFamily="34" charset="0"/>
            </a:endParaRPr>
          </a:p>
        </xdr:txBody>
      </xdr:sp>
    </xdr:grpSp>
    <xdr:clientData/>
  </xdr:twoCellAnchor>
  <xdr:twoCellAnchor>
    <xdr:from>
      <xdr:col>0</xdr:col>
      <xdr:colOff>68036</xdr:colOff>
      <xdr:row>0</xdr:row>
      <xdr:rowOff>163286</xdr:rowOff>
    </xdr:from>
    <xdr:to>
      <xdr:col>0</xdr:col>
      <xdr:colOff>1034143</xdr:colOff>
      <xdr:row>4</xdr:row>
      <xdr:rowOff>0</xdr:rowOff>
    </xdr:to>
    <xdr:sp macro="" textlink="">
      <xdr:nvSpPr>
        <xdr:cNvPr id="4105" name="Elipse 4104">
          <a:extLst>
            <a:ext uri="{FF2B5EF4-FFF2-40B4-BE49-F238E27FC236}">
              <a16:creationId xmlns:a16="http://schemas.microsoft.com/office/drawing/2014/main" id="{6CA54C82-313A-4F29-95EF-2D5491B22E40}"/>
            </a:ext>
          </a:extLst>
        </xdr:cNvPr>
        <xdr:cNvSpPr/>
      </xdr:nvSpPr>
      <xdr:spPr>
        <a:xfrm>
          <a:off x="68036" y="163286"/>
          <a:ext cx="966107" cy="938893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95250</xdr:colOff>
      <xdr:row>2</xdr:row>
      <xdr:rowOff>68036</xdr:rowOff>
    </xdr:from>
    <xdr:to>
      <xdr:col>8</xdr:col>
      <xdr:colOff>425980</xdr:colOff>
      <xdr:row>12</xdr:row>
      <xdr:rowOff>181806</xdr:rowOff>
    </xdr:to>
    <xdr:grpSp>
      <xdr:nvGrpSpPr>
        <xdr:cNvPr id="4114" name="Agrupar 4113">
          <a:extLst>
            <a:ext uri="{FF2B5EF4-FFF2-40B4-BE49-F238E27FC236}">
              <a16:creationId xmlns:a16="http://schemas.microsoft.com/office/drawing/2014/main" id="{9FA180B2-29D5-E2B9-A77F-81C5E06D5707}"/>
            </a:ext>
          </a:extLst>
        </xdr:cNvPr>
        <xdr:cNvGrpSpPr/>
      </xdr:nvGrpSpPr>
      <xdr:grpSpPr>
        <a:xfrm>
          <a:off x="3088821" y="966107"/>
          <a:ext cx="4331230" cy="2073199"/>
          <a:chOff x="3088821" y="966107"/>
          <a:chExt cx="4331230" cy="1950735"/>
        </a:xfrm>
      </xdr:grpSpPr>
      <xdr:grpSp>
        <xdr:nvGrpSpPr>
          <xdr:cNvPr id="4106" name="Agrupar 4105">
            <a:extLst>
              <a:ext uri="{FF2B5EF4-FFF2-40B4-BE49-F238E27FC236}">
                <a16:creationId xmlns:a16="http://schemas.microsoft.com/office/drawing/2014/main" id="{3987E50F-A8ED-490F-AFF6-3871250FCBD6}"/>
              </a:ext>
            </a:extLst>
          </xdr:cNvPr>
          <xdr:cNvGrpSpPr/>
        </xdr:nvGrpSpPr>
        <xdr:grpSpPr>
          <a:xfrm>
            <a:off x="3088821" y="966107"/>
            <a:ext cx="4331230" cy="1950735"/>
            <a:chOff x="2455333" y="1344082"/>
            <a:chExt cx="3873500" cy="1651002"/>
          </a:xfrm>
        </xdr:grpSpPr>
        <xdr:grpSp>
          <xdr:nvGrpSpPr>
            <xdr:cNvPr id="4107" name="Agrupar 4106">
              <a:extLst>
                <a:ext uri="{FF2B5EF4-FFF2-40B4-BE49-F238E27FC236}">
                  <a16:creationId xmlns:a16="http://schemas.microsoft.com/office/drawing/2014/main" id="{95A9FFAE-B32D-6AFB-AA83-0CB738FE543F}"/>
                </a:ext>
              </a:extLst>
            </xdr:cNvPr>
            <xdr:cNvGrpSpPr/>
          </xdr:nvGrpSpPr>
          <xdr:grpSpPr>
            <a:xfrm>
              <a:off x="2465917" y="1534585"/>
              <a:ext cx="3862916" cy="1460499"/>
              <a:chOff x="2465917" y="1534585"/>
              <a:chExt cx="3862916" cy="1460499"/>
            </a:xfrm>
          </xdr:grpSpPr>
          <xdr:sp macro="" textlink="C̳álculos!H19">
            <xdr:nvSpPr>
              <xdr:cNvPr id="4109" name="Retângulo: Cantos Arredondados 4108">
                <a:extLst>
                  <a:ext uri="{FF2B5EF4-FFF2-40B4-BE49-F238E27FC236}">
                    <a16:creationId xmlns:a16="http://schemas.microsoft.com/office/drawing/2014/main" id="{B79659AF-B938-8529-E7A9-5CA22C798D96}"/>
                  </a:ext>
                </a:extLst>
              </xdr:cNvPr>
              <xdr:cNvSpPr/>
            </xdr:nvSpPr>
            <xdr:spPr>
              <a:xfrm>
                <a:off x="2465917" y="1534585"/>
                <a:ext cx="3862916" cy="1422400"/>
              </a:xfrm>
              <a:prstGeom prst="roundRect">
                <a:avLst>
                  <a:gd name="adj" fmla="val 6141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r"/>
                <a:endParaRPr lang="pt-BR" sz="2800">
                  <a:latin typeface="Segoe UI Semilight" panose="020B0402040204020203" pitchFamily="34" charset="0"/>
                  <a:cs typeface="Segoe UI Semilight" panose="020B0402040204020203" pitchFamily="34" charset="0"/>
                </a:endParaRPr>
              </a:p>
            </xdr:txBody>
          </xdr:sp>
          <xdr:sp macro="" textlink="C̳álculos!D11">
            <xdr:nvSpPr>
              <xdr:cNvPr id="4110" name="Retângulo: Cantos Arredondados 4109">
                <a:extLst>
                  <a:ext uri="{FF2B5EF4-FFF2-40B4-BE49-F238E27FC236}">
                    <a16:creationId xmlns:a16="http://schemas.microsoft.com/office/drawing/2014/main" id="{59614255-F513-7553-216C-DC803C6331E4}"/>
                  </a:ext>
                </a:extLst>
              </xdr:cNvPr>
              <xdr:cNvSpPr/>
            </xdr:nvSpPr>
            <xdr:spPr>
              <a:xfrm>
                <a:off x="4025150" y="1793222"/>
                <a:ext cx="2144934" cy="1201862"/>
              </a:xfrm>
              <a:prstGeom prst="roundRect">
                <a:avLst>
                  <a:gd name="adj" fmla="val 6141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r"/>
                <a:fld id="{14ECEC4D-7362-4C5D-9DD8-08AEA9521E98}" type="TxLink">
                  <a:rPr lang="en-US" sz="3200" b="1" i="0" u="none" strike="noStrike">
                    <a:solidFill>
                      <a:srgbClr val="22C55E"/>
                    </a:solidFill>
                    <a:latin typeface="Segoe UI Semilight" panose="020B0402040204020203" pitchFamily="34" charset="0"/>
                    <a:cs typeface="Segoe UI Semilight" panose="020B0402040204020203" pitchFamily="34" charset="0"/>
                  </a:rPr>
                  <a:pPr algn="r"/>
                  <a:t>R$ 7.633,00</a:t>
                </a:fld>
                <a:endParaRPr lang="pt-BR" sz="3200" b="1">
                  <a:solidFill>
                    <a:srgbClr val="22C55E"/>
                  </a:solidFill>
                  <a:latin typeface="Segoe UI Semilight" panose="020B0402040204020203" pitchFamily="34" charset="0"/>
                  <a:cs typeface="Segoe UI Semilight" panose="020B0402040204020203" pitchFamily="34" charset="0"/>
                </a:endParaRPr>
              </a:p>
            </xdr:txBody>
          </xdr:sp>
        </xdr:grpSp>
        <xdr:sp macro="" textlink="">
          <xdr:nvSpPr>
            <xdr:cNvPr id="4108" name="Retângulo: Cantos Arredondados 4107">
              <a:extLst>
                <a:ext uri="{FF2B5EF4-FFF2-40B4-BE49-F238E27FC236}">
                  <a16:creationId xmlns:a16="http://schemas.microsoft.com/office/drawing/2014/main" id="{D0BED4A0-6A69-B733-5C9D-0393867A2E32}"/>
                </a:ext>
              </a:extLst>
            </xdr:cNvPr>
            <xdr:cNvSpPr/>
          </xdr:nvSpPr>
          <xdr:spPr>
            <a:xfrm>
              <a:off x="2455333" y="1344082"/>
              <a:ext cx="3862917" cy="402167"/>
            </a:xfrm>
            <a:prstGeom prst="round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solidFill>
                    <a:sysClr val="windowText" lastClr="000000"/>
                  </a:solidFill>
                </a:rPr>
                <a:t>Total de Vendas</a:t>
              </a:r>
              <a:r>
                <a:rPr lang="pt-BR" sz="1400" b="1" baseline="0">
                  <a:solidFill>
                    <a:sysClr val="windowText" lastClr="000000"/>
                  </a:solidFill>
                </a:rPr>
                <a:t> de XBOX </a:t>
              </a:r>
              <a:endParaRPr lang="pt-BR" sz="1400" b="1">
                <a:solidFill>
                  <a:sysClr val="windowText" lastClr="000000"/>
                </a:solidFill>
              </a:endParaRPr>
            </a:p>
          </xdr:txBody>
        </xdr:sp>
      </xdr:grpSp>
      <xdr:pic>
        <xdr:nvPicPr>
          <xdr:cNvPr id="4112" name="Imagem 4111">
            <a:extLst>
              <a:ext uri="{FF2B5EF4-FFF2-40B4-BE49-F238E27FC236}">
                <a16:creationId xmlns:a16="http://schemas.microsoft.com/office/drawing/2014/main" id="{F1E676C8-2DAE-4F21-912D-853DE2A332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3262317" y="1965827"/>
            <a:ext cx="1745112" cy="537017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eli" refreshedDate="46174.669843055555" createdVersion="8" refreshedVersion="8" minRefreshableVersion="3" recordCount="295" xr:uid="{87AA33E6-419F-4B83-AC75-F39E7042CA6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7274894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x v="0"/>
    <x v="0"/>
    <x v="0"/>
    <x v="0"/>
    <n v="5"/>
    <n v="60"/>
  </r>
  <r>
    <n v="3232"/>
    <x v="1"/>
    <x v="1"/>
    <d v="2024-01-15T00:00:00"/>
    <x v="1"/>
    <x v="1"/>
    <x v="1"/>
    <x v="1"/>
    <x v="1"/>
    <x v="1"/>
    <x v="1"/>
    <n v="0"/>
    <n v="5"/>
  </r>
  <r>
    <n v="3233"/>
    <x v="2"/>
    <x v="2"/>
    <d v="2024-02-10T00:00:00"/>
    <x v="0"/>
    <x v="2"/>
    <x v="2"/>
    <x v="1"/>
    <x v="1"/>
    <x v="0"/>
    <x v="0"/>
    <n v="10"/>
    <n v="20"/>
  </r>
  <r>
    <n v="3234"/>
    <x v="3"/>
    <x v="0"/>
    <d v="2024-02-20T00:00:00"/>
    <x v="1"/>
    <x v="0"/>
    <x v="0"/>
    <x v="0"/>
    <x v="0"/>
    <x v="0"/>
    <x v="0"/>
    <n v="3"/>
    <n v="62"/>
  </r>
  <r>
    <n v="3235"/>
    <x v="4"/>
    <x v="1"/>
    <d v="2024-03-05T00:00:00"/>
    <x v="0"/>
    <x v="1"/>
    <x v="0"/>
    <x v="1"/>
    <x v="1"/>
    <x v="1"/>
    <x v="1"/>
    <n v="1"/>
    <n v="4"/>
  </r>
  <r>
    <n v="3236"/>
    <x v="5"/>
    <x v="2"/>
    <d v="2024-03-02T00:00:00"/>
    <x v="1"/>
    <x v="2"/>
    <x v="0"/>
    <x v="1"/>
    <x v="1"/>
    <x v="0"/>
    <x v="0"/>
    <n v="2"/>
    <n v="28"/>
  </r>
  <r>
    <n v="3237"/>
    <x v="6"/>
    <x v="0"/>
    <d v="2024-03-03T00:00:00"/>
    <x v="0"/>
    <x v="0"/>
    <x v="2"/>
    <x v="0"/>
    <x v="0"/>
    <x v="0"/>
    <x v="0"/>
    <n v="10"/>
    <n v="55"/>
  </r>
  <r>
    <n v="3238"/>
    <x v="7"/>
    <x v="1"/>
    <d v="2024-03-04T00:00:00"/>
    <x v="0"/>
    <x v="1"/>
    <x v="1"/>
    <x v="1"/>
    <x v="1"/>
    <x v="1"/>
    <x v="1"/>
    <n v="0"/>
    <n v="5"/>
  </r>
  <r>
    <n v="3239"/>
    <x v="8"/>
    <x v="0"/>
    <d v="2024-03-05T00:00:00"/>
    <x v="1"/>
    <x v="0"/>
    <x v="0"/>
    <x v="0"/>
    <x v="0"/>
    <x v="0"/>
    <x v="0"/>
    <n v="5"/>
    <n v="60"/>
  </r>
  <r>
    <n v="3240"/>
    <x v="9"/>
    <x v="2"/>
    <d v="2024-03-06T00:00:00"/>
    <x v="0"/>
    <x v="2"/>
    <x v="2"/>
    <x v="1"/>
    <x v="1"/>
    <x v="0"/>
    <x v="0"/>
    <n v="15"/>
    <n v="15"/>
  </r>
  <r>
    <n v="3241"/>
    <x v="10"/>
    <x v="1"/>
    <d v="2024-03-07T00:00:00"/>
    <x v="1"/>
    <x v="1"/>
    <x v="0"/>
    <x v="1"/>
    <x v="1"/>
    <x v="1"/>
    <x v="1"/>
    <n v="1"/>
    <n v="4"/>
  </r>
  <r>
    <n v="3242"/>
    <x v="11"/>
    <x v="0"/>
    <d v="2024-03-08T00:00:00"/>
    <x v="0"/>
    <x v="0"/>
    <x v="1"/>
    <x v="0"/>
    <x v="0"/>
    <x v="0"/>
    <x v="0"/>
    <n v="20"/>
    <n v="45"/>
  </r>
  <r>
    <n v="3243"/>
    <x v="12"/>
    <x v="2"/>
    <d v="2024-03-09T00:00:00"/>
    <x v="1"/>
    <x v="2"/>
    <x v="0"/>
    <x v="1"/>
    <x v="1"/>
    <x v="0"/>
    <x v="0"/>
    <n v="10"/>
    <n v="20"/>
  </r>
  <r>
    <n v="3244"/>
    <x v="13"/>
    <x v="1"/>
    <d v="2024-03-10T00:00:00"/>
    <x v="0"/>
    <x v="1"/>
    <x v="2"/>
    <x v="1"/>
    <x v="1"/>
    <x v="1"/>
    <x v="1"/>
    <n v="0"/>
    <n v="5"/>
  </r>
  <r>
    <n v="3245"/>
    <x v="14"/>
    <x v="0"/>
    <d v="2024-03-11T00:00:00"/>
    <x v="1"/>
    <x v="0"/>
    <x v="0"/>
    <x v="0"/>
    <x v="0"/>
    <x v="0"/>
    <x v="0"/>
    <n v="8"/>
    <n v="57"/>
  </r>
  <r>
    <n v="3246"/>
    <x v="15"/>
    <x v="2"/>
    <d v="2024-03-12T00:00:00"/>
    <x v="0"/>
    <x v="2"/>
    <x v="1"/>
    <x v="1"/>
    <x v="1"/>
    <x v="0"/>
    <x v="0"/>
    <n v="12"/>
    <n v="18"/>
  </r>
  <r>
    <n v="3247"/>
    <x v="16"/>
    <x v="1"/>
    <d v="2024-03-13T00:00:00"/>
    <x v="1"/>
    <x v="1"/>
    <x v="0"/>
    <x v="1"/>
    <x v="1"/>
    <x v="1"/>
    <x v="1"/>
    <n v="2"/>
    <n v="3"/>
  </r>
  <r>
    <n v="3248"/>
    <x v="17"/>
    <x v="0"/>
    <d v="2024-03-14T00:00:00"/>
    <x v="0"/>
    <x v="0"/>
    <x v="2"/>
    <x v="0"/>
    <x v="0"/>
    <x v="0"/>
    <x v="0"/>
    <n v="7"/>
    <n v="58"/>
  </r>
  <r>
    <n v="3249"/>
    <x v="18"/>
    <x v="2"/>
    <d v="2024-03-15T00:00:00"/>
    <x v="1"/>
    <x v="2"/>
    <x v="0"/>
    <x v="1"/>
    <x v="1"/>
    <x v="0"/>
    <x v="0"/>
    <n v="5"/>
    <n v="25"/>
  </r>
  <r>
    <n v="3250"/>
    <x v="19"/>
    <x v="1"/>
    <d v="2024-03-16T00:00:00"/>
    <x v="0"/>
    <x v="1"/>
    <x v="1"/>
    <x v="1"/>
    <x v="1"/>
    <x v="1"/>
    <x v="1"/>
    <n v="0"/>
    <n v="5"/>
  </r>
  <r>
    <n v="3251"/>
    <x v="20"/>
    <x v="0"/>
    <d v="2024-03-17T00:00:00"/>
    <x v="1"/>
    <x v="0"/>
    <x v="0"/>
    <x v="0"/>
    <x v="0"/>
    <x v="0"/>
    <x v="0"/>
    <n v="3"/>
    <n v="62"/>
  </r>
  <r>
    <n v="3252"/>
    <x v="21"/>
    <x v="2"/>
    <d v="2024-03-18T00:00:00"/>
    <x v="0"/>
    <x v="2"/>
    <x v="2"/>
    <x v="1"/>
    <x v="1"/>
    <x v="0"/>
    <x v="0"/>
    <n v="15"/>
    <n v="15"/>
  </r>
  <r>
    <n v="3253"/>
    <x v="22"/>
    <x v="1"/>
    <d v="2024-03-19T00:00:00"/>
    <x v="1"/>
    <x v="1"/>
    <x v="0"/>
    <x v="1"/>
    <x v="1"/>
    <x v="1"/>
    <x v="1"/>
    <n v="1"/>
    <n v="4"/>
  </r>
  <r>
    <n v="3254"/>
    <x v="23"/>
    <x v="0"/>
    <d v="2024-03-20T00:00:00"/>
    <x v="0"/>
    <x v="0"/>
    <x v="1"/>
    <x v="0"/>
    <x v="0"/>
    <x v="0"/>
    <x v="0"/>
    <n v="20"/>
    <n v="45"/>
  </r>
  <r>
    <n v="3255"/>
    <x v="24"/>
    <x v="2"/>
    <d v="2024-03-21T00:00:00"/>
    <x v="1"/>
    <x v="2"/>
    <x v="0"/>
    <x v="1"/>
    <x v="1"/>
    <x v="0"/>
    <x v="0"/>
    <n v="10"/>
    <n v="20"/>
  </r>
  <r>
    <n v="3256"/>
    <x v="25"/>
    <x v="1"/>
    <d v="2024-03-22T00:00:00"/>
    <x v="0"/>
    <x v="1"/>
    <x v="2"/>
    <x v="1"/>
    <x v="1"/>
    <x v="1"/>
    <x v="1"/>
    <n v="0"/>
    <n v="5"/>
  </r>
  <r>
    <n v="3257"/>
    <x v="26"/>
    <x v="0"/>
    <d v="2024-03-23T00:00:00"/>
    <x v="1"/>
    <x v="0"/>
    <x v="0"/>
    <x v="0"/>
    <x v="0"/>
    <x v="0"/>
    <x v="0"/>
    <n v="5"/>
    <n v="60"/>
  </r>
  <r>
    <n v="3258"/>
    <x v="27"/>
    <x v="2"/>
    <d v="2024-03-24T00:00:00"/>
    <x v="0"/>
    <x v="2"/>
    <x v="1"/>
    <x v="1"/>
    <x v="1"/>
    <x v="0"/>
    <x v="0"/>
    <n v="15"/>
    <n v="15"/>
  </r>
  <r>
    <n v="3259"/>
    <x v="28"/>
    <x v="1"/>
    <d v="2024-03-25T00:00:00"/>
    <x v="1"/>
    <x v="1"/>
    <x v="0"/>
    <x v="1"/>
    <x v="1"/>
    <x v="1"/>
    <x v="1"/>
    <n v="1"/>
    <n v="4"/>
  </r>
  <r>
    <n v="3260"/>
    <x v="29"/>
    <x v="0"/>
    <d v="2024-03-26T00:00:00"/>
    <x v="0"/>
    <x v="0"/>
    <x v="2"/>
    <x v="0"/>
    <x v="0"/>
    <x v="0"/>
    <x v="0"/>
    <n v="7"/>
    <n v="58"/>
  </r>
  <r>
    <n v="3261"/>
    <x v="30"/>
    <x v="2"/>
    <d v="2024-03-27T00:00:00"/>
    <x v="1"/>
    <x v="2"/>
    <x v="0"/>
    <x v="1"/>
    <x v="1"/>
    <x v="0"/>
    <x v="0"/>
    <n v="10"/>
    <n v="20"/>
  </r>
  <r>
    <n v="3262"/>
    <x v="31"/>
    <x v="1"/>
    <d v="2024-03-28T00:00:00"/>
    <x v="0"/>
    <x v="1"/>
    <x v="1"/>
    <x v="1"/>
    <x v="1"/>
    <x v="1"/>
    <x v="1"/>
    <n v="0"/>
    <n v="5"/>
  </r>
  <r>
    <n v="3263"/>
    <x v="32"/>
    <x v="0"/>
    <d v="2024-03-29T00:00:00"/>
    <x v="1"/>
    <x v="0"/>
    <x v="0"/>
    <x v="0"/>
    <x v="0"/>
    <x v="0"/>
    <x v="0"/>
    <n v="3"/>
    <n v="62"/>
  </r>
  <r>
    <n v="3264"/>
    <x v="33"/>
    <x v="2"/>
    <d v="2024-03-30T00:00:00"/>
    <x v="0"/>
    <x v="2"/>
    <x v="2"/>
    <x v="1"/>
    <x v="1"/>
    <x v="0"/>
    <x v="0"/>
    <n v="15"/>
    <n v="15"/>
  </r>
  <r>
    <n v="3265"/>
    <x v="34"/>
    <x v="1"/>
    <d v="2024-03-31T00:00:00"/>
    <x v="1"/>
    <x v="1"/>
    <x v="0"/>
    <x v="1"/>
    <x v="1"/>
    <x v="1"/>
    <x v="1"/>
    <n v="1"/>
    <n v="4"/>
  </r>
  <r>
    <n v="3266"/>
    <x v="35"/>
    <x v="1"/>
    <d v="2024-04-01T00:00:00"/>
    <x v="0"/>
    <x v="1"/>
    <x v="0"/>
    <x v="1"/>
    <x v="1"/>
    <x v="1"/>
    <x v="1"/>
    <n v="0"/>
    <n v="5"/>
  </r>
  <r>
    <n v="3267"/>
    <x v="36"/>
    <x v="0"/>
    <d v="2024-04-02T00:00:00"/>
    <x v="1"/>
    <x v="0"/>
    <x v="2"/>
    <x v="0"/>
    <x v="0"/>
    <x v="0"/>
    <x v="0"/>
    <n v="7"/>
    <n v="58"/>
  </r>
  <r>
    <n v="3268"/>
    <x v="37"/>
    <x v="2"/>
    <d v="2024-04-03T00:00:00"/>
    <x v="0"/>
    <x v="2"/>
    <x v="1"/>
    <x v="1"/>
    <x v="1"/>
    <x v="0"/>
    <x v="0"/>
    <n v="10"/>
    <n v="20"/>
  </r>
  <r>
    <n v="3269"/>
    <x v="38"/>
    <x v="1"/>
    <d v="2024-04-04T00:00:00"/>
    <x v="1"/>
    <x v="1"/>
    <x v="2"/>
    <x v="1"/>
    <x v="1"/>
    <x v="1"/>
    <x v="1"/>
    <n v="1"/>
    <n v="4"/>
  </r>
  <r>
    <n v="3270"/>
    <x v="39"/>
    <x v="0"/>
    <d v="2024-04-05T00:00:00"/>
    <x v="0"/>
    <x v="0"/>
    <x v="0"/>
    <x v="0"/>
    <x v="0"/>
    <x v="0"/>
    <x v="0"/>
    <n v="15"/>
    <n v="50"/>
  </r>
  <r>
    <n v="3271"/>
    <x v="40"/>
    <x v="2"/>
    <d v="2024-04-06T00:00:00"/>
    <x v="1"/>
    <x v="2"/>
    <x v="0"/>
    <x v="1"/>
    <x v="1"/>
    <x v="0"/>
    <x v="0"/>
    <n v="5"/>
    <n v="25"/>
  </r>
  <r>
    <n v="3272"/>
    <x v="41"/>
    <x v="1"/>
    <d v="2024-04-07T00:00:00"/>
    <x v="0"/>
    <x v="1"/>
    <x v="1"/>
    <x v="1"/>
    <x v="1"/>
    <x v="1"/>
    <x v="1"/>
    <n v="0"/>
    <n v="5"/>
  </r>
  <r>
    <n v="3273"/>
    <x v="42"/>
    <x v="0"/>
    <d v="2024-04-08T00:00:00"/>
    <x v="1"/>
    <x v="0"/>
    <x v="2"/>
    <x v="0"/>
    <x v="0"/>
    <x v="0"/>
    <x v="0"/>
    <n v="20"/>
    <n v="45"/>
  </r>
  <r>
    <n v="3274"/>
    <x v="43"/>
    <x v="2"/>
    <d v="2024-04-09T00:00:00"/>
    <x v="0"/>
    <x v="2"/>
    <x v="2"/>
    <x v="1"/>
    <x v="1"/>
    <x v="0"/>
    <x v="0"/>
    <n v="12"/>
    <n v="18"/>
  </r>
  <r>
    <n v="3275"/>
    <x v="44"/>
    <x v="1"/>
    <d v="2024-04-10T00:00:00"/>
    <x v="1"/>
    <x v="1"/>
    <x v="0"/>
    <x v="1"/>
    <x v="1"/>
    <x v="1"/>
    <x v="1"/>
    <n v="2"/>
    <n v="3"/>
  </r>
  <r>
    <n v="3276"/>
    <x v="45"/>
    <x v="0"/>
    <d v="2024-04-11T00:00:00"/>
    <x v="0"/>
    <x v="0"/>
    <x v="1"/>
    <x v="0"/>
    <x v="0"/>
    <x v="0"/>
    <x v="0"/>
    <n v="5"/>
    <n v="60"/>
  </r>
  <r>
    <n v="3277"/>
    <x v="46"/>
    <x v="2"/>
    <d v="2024-04-12T00:00:00"/>
    <x v="1"/>
    <x v="2"/>
    <x v="0"/>
    <x v="1"/>
    <x v="1"/>
    <x v="0"/>
    <x v="0"/>
    <n v="10"/>
    <n v="20"/>
  </r>
  <r>
    <n v="3278"/>
    <x v="47"/>
    <x v="1"/>
    <d v="2024-04-13T00:00:00"/>
    <x v="0"/>
    <x v="1"/>
    <x v="2"/>
    <x v="1"/>
    <x v="1"/>
    <x v="1"/>
    <x v="1"/>
    <n v="0"/>
    <n v="5"/>
  </r>
  <r>
    <n v="3279"/>
    <x v="48"/>
    <x v="0"/>
    <d v="2024-04-14T00:00:00"/>
    <x v="1"/>
    <x v="0"/>
    <x v="0"/>
    <x v="0"/>
    <x v="0"/>
    <x v="0"/>
    <x v="0"/>
    <n v="3"/>
    <n v="62"/>
  </r>
  <r>
    <n v="3280"/>
    <x v="49"/>
    <x v="2"/>
    <d v="2024-04-15T00:00:00"/>
    <x v="0"/>
    <x v="2"/>
    <x v="1"/>
    <x v="1"/>
    <x v="1"/>
    <x v="0"/>
    <x v="0"/>
    <n v="15"/>
    <n v="15"/>
  </r>
  <r>
    <n v="3281"/>
    <x v="50"/>
    <x v="1"/>
    <d v="2024-04-16T00:00:00"/>
    <x v="1"/>
    <x v="1"/>
    <x v="0"/>
    <x v="1"/>
    <x v="1"/>
    <x v="1"/>
    <x v="1"/>
    <n v="1"/>
    <n v="4"/>
  </r>
  <r>
    <n v="3282"/>
    <x v="51"/>
    <x v="0"/>
    <d v="2024-04-17T00:00:00"/>
    <x v="0"/>
    <x v="0"/>
    <x v="2"/>
    <x v="0"/>
    <x v="0"/>
    <x v="0"/>
    <x v="0"/>
    <n v="7"/>
    <n v="58"/>
  </r>
  <r>
    <n v="3283"/>
    <x v="52"/>
    <x v="2"/>
    <d v="2024-04-18T00:00:00"/>
    <x v="1"/>
    <x v="2"/>
    <x v="0"/>
    <x v="1"/>
    <x v="1"/>
    <x v="0"/>
    <x v="0"/>
    <n v="10"/>
    <n v="20"/>
  </r>
  <r>
    <n v="3284"/>
    <x v="53"/>
    <x v="1"/>
    <d v="2024-04-19T00:00:00"/>
    <x v="0"/>
    <x v="1"/>
    <x v="1"/>
    <x v="1"/>
    <x v="1"/>
    <x v="1"/>
    <x v="1"/>
    <n v="0"/>
    <n v="5"/>
  </r>
  <r>
    <n v="3285"/>
    <x v="54"/>
    <x v="0"/>
    <d v="2024-04-20T00:00:00"/>
    <x v="1"/>
    <x v="0"/>
    <x v="0"/>
    <x v="0"/>
    <x v="0"/>
    <x v="0"/>
    <x v="0"/>
    <n v="20"/>
    <n v="45"/>
  </r>
  <r>
    <n v="3286"/>
    <x v="55"/>
    <x v="2"/>
    <d v="2024-04-21T00:00:00"/>
    <x v="0"/>
    <x v="2"/>
    <x v="2"/>
    <x v="1"/>
    <x v="1"/>
    <x v="0"/>
    <x v="0"/>
    <n v="15"/>
    <n v="15"/>
  </r>
  <r>
    <n v="3287"/>
    <x v="56"/>
    <x v="1"/>
    <d v="2024-04-22T00:00:00"/>
    <x v="1"/>
    <x v="1"/>
    <x v="0"/>
    <x v="1"/>
    <x v="1"/>
    <x v="1"/>
    <x v="1"/>
    <n v="1"/>
    <n v="4"/>
  </r>
  <r>
    <n v="3288"/>
    <x v="57"/>
    <x v="0"/>
    <d v="2024-04-23T00:00:00"/>
    <x v="0"/>
    <x v="0"/>
    <x v="1"/>
    <x v="0"/>
    <x v="0"/>
    <x v="0"/>
    <x v="0"/>
    <n v="3"/>
    <n v="62"/>
  </r>
  <r>
    <n v="3289"/>
    <x v="58"/>
    <x v="2"/>
    <d v="2024-04-24T00:00:00"/>
    <x v="1"/>
    <x v="2"/>
    <x v="0"/>
    <x v="1"/>
    <x v="1"/>
    <x v="0"/>
    <x v="0"/>
    <n v="10"/>
    <n v="20"/>
  </r>
  <r>
    <n v="3290"/>
    <x v="59"/>
    <x v="1"/>
    <d v="2024-04-25T00:00:00"/>
    <x v="0"/>
    <x v="1"/>
    <x v="2"/>
    <x v="1"/>
    <x v="1"/>
    <x v="1"/>
    <x v="1"/>
    <n v="0"/>
    <n v="5"/>
  </r>
  <r>
    <n v="3291"/>
    <x v="60"/>
    <x v="0"/>
    <d v="2024-04-26T00:00:00"/>
    <x v="1"/>
    <x v="0"/>
    <x v="0"/>
    <x v="0"/>
    <x v="0"/>
    <x v="0"/>
    <x v="0"/>
    <n v="5"/>
    <n v="60"/>
  </r>
  <r>
    <n v="3292"/>
    <x v="61"/>
    <x v="2"/>
    <d v="2024-04-27T00:00:00"/>
    <x v="0"/>
    <x v="2"/>
    <x v="1"/>
    <x v="1"/>
    <x v="1"/>
    <x v="0"/>
    <x v="0"/>
    <n v="15"/>
    <n v="15"/>
  </r>
  <r>
    <n v="3293"/>
    <x v="62"/>
    <x v="1"/>
    <d v="2024-04-28T00:00:00"/>
    <x v="1"/>
    <x v="1"/>
    <x v="0"/>
    <x v="1"/>
    <x v="1"/>
    <x v="1"/>
    <x v="1"/>
    <n v="1"/>
    <n v="4"/>
  </r>
  <r>
    <n v="3294"/>
    <x v="63"/>
    <x v="0"/>
    <d v="2024-04-29T00:00:00"/>
    <x v="0"/>
    <x v="0"/>
    <x v="2"/>
    <x v="0"/>
    <x v="0"/>
    <x v="0"/>
    <x v="0"/>
    <n v="20"/>
    <n v="45"/>
  </r>
  <r>
    <n v="3295"/>
    <x v="64"/>
    <x v="2"/>
    <d v="2024-04-30T00:00:00"/>
    <x v="1"/>
    <x v="2"/>
    <x v="0"/>
    <x v="1"/>
    <x v="1"/>
    <x v="0"/>
    <x v="0"/>
    <n v="5"/>
    <n v="25"/>
  </r>
  <r>
    <n v="3296"/>
    <x v="65"/>
    <x v="1"/>
    <d v="2024-05-01T00:00:00"/>
    <x v="1"/>
    <x v="1"/>
    <x v="0"/>
    <x v="1"/>
    <x v="1"/>
    <x v="1"/>
    <x v="1"/>
    <n v="0"/>
    <n v="5"/>
  </r>
  <r>
    <n v="3297"/>
    <x v="66"/>
    <x v="0"/>
    <d v="2024-05-02T00:00:00"/>
    <x v="0"/>
    <x v="0"/>
    <x v="2"/>
    <x v="0"/>
    <x v="0"/>
    <x v="0"/>
    <x v="0"/>
    <n v="7"/>
    <n v="58"/>
  </r>
  <r>
    <n v="3298"/>
    <x v="67"/>
    <x v="2"/>
    <d v="2024-05-03T00:00:00"/>
    <x v="1"/>
    <x v="2"/>
    <x v="1"/>
    <x v="1"/>
    <x v="1"/>
    <x v="0"/>
    <x v="0"/>
    <n v="10"/>
    <n v="20"/>
  </r>
  <r>
    <n v="3299"/>
    <x v="68"/>
    <x v="1"/>
    <d v="2024-05-04T00:00:00"/>
    <x v="0"/>
    <x v="1"/>
    <x v="2"/>
    <x v="1"/>
    <x v="1"/>
    <x v="1"/>
    <x v="1"/>
    <n v="1"/>
    <n v="4"/>
  </r>
  <r>
    <n v="3300"/>
    <x v="69"/>
    <x v="0"/>
    <d v="2024-05-05T00:00:00"/>
    <x v="1"/>
    <x v="0"/>
    <x v="0"/>
    <x v="0"/>
    <x v="0"/>
    <x v="0"/>
    <x v="0"/>
    <n v="15"/>
    <n v="50"/>
  </r>
  <r>
    <n v="3301"/>
    <x v="70"/>
    <x v="2"/>
    <d v="2024-05-06T00:00:00"/>
    <x v="0"/>
    <x v="2"/>
    <x v="0"/>
    <x v="1"/>
    <x v="1"/>
    <x v="0"/>
    <x v="0"/>
    <n v="5"/>
    <n v="25"/>
  </r>
  <r>
    <n v="3302"/>
    <x v="71"/>
    <x v="1"/>
    <d v="2024-05-07T00:00:00"/>
    <x v="1"/>
    <x v="1"/>
    <x v="1"/>
    <x v="1"/>
    <x v="1"/>
    <x v="1"/>
    <x v="1"/>
    <n v="0"/>
    <n v="5"/>
  </r>
  <r>
    <n v="3303"/>
    <x v="72"/>
    <x v="0"/>
    <d v="2024-05-08T00:00:00"/>
    <x v="0"/>
    <x v="0"/>
    <x v="2"/>
    <x v="0"/>
    <x v="0"/>
    <x v="0"/>
    <x v="0"/>
    <n v="20"/>
    <n v="45"/>
  </r>
  <r>
    <n v="3304"/>
    <x v="73"/>
    <x v="2"/>
    <d v="2024-05-09T00:00:00"/>
    <x v="1"/>
    <x v="2"/>
    <x v="2"/>
    <x v="1"/>
    <x v="1"/>
    <x v="0"/>
    <x v="0"/>
    <n v="12"/>
    <n v="18"/>
  </r>
  <r>
    <n v="3305"/>
    <x v="74"/>
    <x v="1"/>
    <d v="2024-05-10T00:00:00"/>
    <x v="0"/>
    <x v="1"/>
    <x v="0"/>
    <x v="1"/>
    <x v="1"/>
    <x v="1"/>
    <x v="1"/>
    <n v="2"/>
    <n v="3"/>
  </r>
  <r>
    <n v="3306"/>
    <x v="75"/>
    <x v="0"/>
    <d v="2024-05-11T00:00:00"/>
    <x v="1"/>
    <x v="0"/>
    <x v="1"/>
    <x v="0"/>
    <x v="0"/>
    <x v="0"/>
    <x v="0"/>
    <n v="5"/>
    <n v="60"/>
  </r>
  <r>
    <n v="3307"/>
    <x v="76"/>
    <x v="2"/>
    <d v="2024-05-12T00:00:00"/>
    <x v="0"/>
    <x v="2"/>
    <x v="0"/>
    <x v="1"/>
    <x v="1"/>
    <x v="0"/>
    <x v="0"/>
    <n v="10"/>
    <n v="20"/>
  </r>
  <r>
    <n v="3308"/>
    <x v="77"/>
    <x v="1"/>
    <d v="2024-05-13T00:00:00"/>
    <x v="1"/>
    <x v="1"/>
    <x v="2"/>
    <x v="1"/>
    <x v="1"/>
    <x v="1"/>
    <x v="1"/>
    <n v="0"/>
    <n v="5"/>
  </r>
  <r>
    <n v="3309"/>
    <x v="78"/>
    <x v="0"/>
    <d v="2024-05-14T00:00:00"/>
    <x v="0"/>
    <x v="0"/>
    <x v="0"/>
    <x v="0"/>
    <x v="0"/>
    <x v="0"/>
    <x v="0"/>
    <n v="3"/>
    <n v="62"/>
  </r>
  <r>
    <n v="3310"/>
    <x v="79"/>
    <x v="2"/>
    <d v="2024-05-15T00:00:00"/>
    <x v="1"/>
    <x v="2"/>
    <x v="1"/>
    <x v="1"/>
    <x v="1"/>
    <x v="0"/>
    <x v="0"/>
    <n v="15"/>
    <n v="15"/>
  </r>
  <r>
    <n v="3311"/>
    <x v="80"/>
    <x v="1"/>
    <d v="2024-05-16T00:00:00"/>
    <x v="0"/>
    <x v="1"/>
    <x v="0"/>
    <x v="1"/>
    <x v="1"/>
    <x v="1"/>
    <x v="1"/>
    <n v="1"/>
    <n v="4"/>
  </r>
  <r>
    <n v="3312"/>
    <x v="81"/>
    <x v="0"/>
    <d v="2024-05-17T00:00:00"/>
    <x v="1"/>
    <x v="0"/>
    <x v="2"/>
    <x v="0"/>
    <x v="0"/>
    <x v="0"/>
    <x v="0"/>
    <n v="7"/>
    <n v="58"/>
  </r>
  <r>
    <n v="3313"/>
    <x v="82"/>
    <x v="2"/>
    <d v="2024-05-18T00:00:00"/>
    <x v="0"/>
    <x v="2"/>
    <x v="0"/>
    <x v="1"/>
    <x v="1"/>
    <x v="0"/>
    <x v="0"/>
    <n v="10"/>
    <n v="20"/>
  </r>
  <r>
    <n v="3314"/>
    <x v="83"/>
    <x v="1"/>
    <d v="2024-05-19T00:00:00"/>
    <x v="1"/>
    <x v="1"/>
    <x v="1"/>
    <x v="1"/>
    <x v="1"/>
    <x v="1"/>
    <x v="1"/>
    <n v="0"/>
    <n v="5"/>
  </r>
  <r>
    <n v="3315"/>
    <x v="84"/>
    <x v="0"/>
    <d v="2024-05-20T00:00:00"/>
    <x v="0"/>
    <x v="0"/>
    <x v="0"/>
    <x v="0"/>
    <x v="0"/>
    <x v="0"/>
    <x v="0"/>
    <n v="20"/>
    <n v="45"/>
  </r>
  <r>
    <n v="3316"/>
    <x v="85"/>
    <x v="2"/>
    <d v="2024-05-21T00:00:00"/>
    <x v="1"/>
    <x v="2"/>
    <x v="2"/>
    <x v="1"/>
    <x v="1"/>
    <x v="0"/>
    <x v="0"/>
    <n v="15"/>
    <n v="15"/>
  </r>
  <r>
    <n v="3317"/>
    <x v="86"/>
    <x v="1"/>
    <d v="2024-05-22T00:00:00"/>
    <x v="0"/>
    <x v="1"/>
    <x v="0"/>
    <x v="1"/>
    <x v="1"/>
    <x v="1"/>
    <x v="1"/>
    <n v="1"/>
    <n v="4"/>
  </r>
  <r>
    <n v="3318"/>
    <x v="87"/>
    <x v="0"/>
    <d v="2024-05-23T00:00:00"/>
    <x v="1"/>
    <x v="0"/>
    <x v="1"/>
    <x v="0"/>
    <x v="0"/>
    <x v="0"/>
    <x v="0"/>
    <n v="3"/>
    <n v="62"/>
  </r>
  <r>
    <n v="3319"/>
    <x v="88"/>
    <x v="2"/>
    <d v="2024-05-24T00:00:00"/>
    <x v="0"/>
    <x v="2"/>
    <x v="0"/>
    <x v="1"/>
    <x v="1"/>
    <x v="0"/>
    <x v="0"/>
    <n v="10"/>
    <n v="20"/>
  </r>
  <r>
    <n v="3320"/>
    <x v="89"/>
    <x v="1"/>
    <d v="2024-05-25T00:00:00"/>
    <x v="1"/>
    <x v="1"/>
    <x v="2"/>
    <x v="1"/>
    <x v="1"/>
    <x v="1"/>
    <x v="1"/>
    <n v="0"/>
    <n v="5"/>
  </r>
  <r>
    <n v="3321"/>
    <x v="90"/>
    <x v="0"/>
    <d v="2024-05-26T00:00:00"/>
    <x v="0"/>
    <x v="0"/>
    <x v="0"/>
    <x v="0"/>
    <x v="0"/>
    <x v="0"/>
    <x v="0"/>
    <n v="5"/>
    <n v="60"/>
  </r>
  <r>
    <n v="3322"/>
    <x v="91"/>
    <x v="2"/>
    <d v="2024-05-27T00:00:00"/>
    <x v="1"/>
    <x v="2"/>
    <x v="1"/>
    <x v="1"/>
    <x v="1"/>
    <x v="0"/>
    <x v="0"/>
    <n v="15"/>
    <n v="15"/>
  </r>
  <r>
    <n v="3323"/>
    <x v="92"/>
    <x v="1"/>
    <d v="2024-05-28T00:00:00"/>
    <x v="0"/>
    <x v="1"/>
    <x v="0"/>
    <x v="1"/>
    <x v="1"/>
    <x v="1"/>
    <x v="1"/>
    <n v="1"/>
    <n v="4"/>
  </r>
  <r>
    <n v="3324"/>
    <x v="93"/>
    <x v="0"/>
    <d v="2024-05-29T00:00:00"/>
    <x v="1"/>
    <x v="0"/>
    <x v="2"/>
    <x v="0"/>
    <x v="0"/>
    <x v="0"/>
    <x v="0"/>
    <n v="20"/>
    <n v="45"/>
  </r>
  <r>
    <n v="3325"/>
    <x v="94"/>
    <x v="2"/>
    <d v="2024-05-30T00:00:00"/>
    <x v="0"/>
    <x v="2"/>
    <x v="2"/>
    <x v="1"/>
    <x v="1"/>
    <x v="0"/>
    <x v="0"/>
    <n v="15"/>
    <n v="15"/>
  </r>
  <r>
    <n v="3326"/>
    <x v="95"/>
    <x v="1"/>
    <d v="2024-05-31T00:00:00"/>
    <x v="1"/>
    <x v="1"/>
    <x v="1"/>
    <x v="1"/>
    <x v="1"/>
    <x v="1"/>
    <x v="1"/>
    <n v="0"/>
    <n v="5"/>
  </r>
  <r>
    <n v="3327"/>
    <x v="96"/>
    <x v="0"/>
    <d v="2024-06-01T00:00:00"/>
    <x v="0"/>
    <x v="0"/>
    <x v="0"/>
    <x v="0"/>
    <x v="0"/>
    <x v="0"/>
    <x v="0"/>
    <n v="7"/>
    <n v="58"/>
  </r>
  <r>
    <n v="3328"/>
    <x v="97"/>
    <x v="2"/>
    <d v="2024-06-02T00:00:00"/>
    <x v="1"/>
    <x v="2"/>
    <x v="1"/>
    <x v="1"/>
    <x v="1"/>
    <x v="0"/>
    <x v="0"/>
    <n v="10"/>
    <n v="20"/>
  </r>
  <r>
    <n v="3329"/>
    <x v="98"/>
    <x v="1"/>
    <d v="2024-06-03T00:00:00"/>
    <x v="0"/>
    <x v="1"/>
    <x v="2"/>
    <x v="1"/>
    <x v="1"/>
    <x v="1"/>
    <x v="1"/>
    <n v="1"/>
    <n v="4"/>
  </r>
  <r>
    <n v="3330"/>
    <x v="99"/>
    <x v="0"/>
    <d v="2024-06-04T00:00:00"/>
    <x v="1"/>
    <x v="0"/>
    <x v="0"/>
    <x v="0"/>
    <x v="0"/>
    <x v="0"/>
    <x v="0"/>
    <n v="15"/>
    <n v="50"/>
  </r>
  <r>
    <n v="3331"/>
    <x v="100"/>
    <x v="2"/>
    <d v="2024-06-05T00:00:00"/>
    <x v="0"/>
    <x v="2"/>
    <x v="0"/>
    <x v="1"/>
    <x v="1"/>
    <x v="0"/>
    <x v="0"/>
    <n v="5"/>
    <n v="25"/>
  </r>
  <r>
    <n v="3332"/>
    <x v="101"/>
    <x v="1"/>
    <d v="2024-06-06T00:00:00"/>
    <x v="1"/>
    <x v="1"/>
    <x v="1"/>
    <x v="1"/>
    <x v="1"/>
    <x v="1"/>
    <x v="1"/>
    <n v="0"/>
    <n v="5"/>
  </r>
  <r>
    <n v="3333"/>
    <x v="102"/>
    <x v="0"/>
    <d v="2024-06-07T00:00:00"/>
    <x v="0"/>
    <x v="0"/>
    <x v="2"/>
    <x v="0"/>
    <x v="0"/>
    <x v="0"/>
    <x v="0"/>
    <n v="20"/>
    <n v="45"/>
  </r>
  <r>
    <n v="3334"/>
    <x v="103"/>
    <x v="2"/>
    <d v="2024-06-08T00:00:00"/>
    <x v="1"/>
    <x v="2"/>
    <x v="2"/>
    <x v="1"/>
    <x v="1"/>
    <x v="0"/>
    <x v="0"/>
    <n v="12"/>
    <n v="18"/>
  </r>
  <r>
    <n v="3335"/>
    <x v="104"/>
    <x v="1"/>
    <d v="2024-06-09T00:00:00"/>
    <x v="0"/>
    <x v="1"/>
    <x v="0"/>
    <x v="1"/>
    <x v="1"/>
    <x v="1"/>
    <x v="1"/>
    <n v="2"/>
    <n v="3"/>
  </r>
  <r>
    <n v="3336"/>
    <x v="105"/>
    <x v="1"/>
    <d v="2024-06-10T00:00:00"/>
    <x v="0"/>
    <x v="1"/>
    <x v="0"/>
    <x v="1"/>
    <x v="1"/>
    <x v="1"/>
    <x v="1"/>
    <n v="0"/>
    <n v="5"/>
  </r>
  <r>
    <n v="3337"/>
    <x v="106"/>
    <x v="0"/>
    <d v="2024-06-11T00:00:00"/>
    <x v="1"/>
    <x v="0"/>
    <x v="2"/>
    <x v="0"/>
    <x v="0"/>
    <x v="0"/>
    <x v="0"/>
    <n v="7"/>
    <n v="58"/>
  </r>
  <r>
    <n v="3338"/>
    <x v="107"/>
    <x v="2"/>
    <d v="2024-06-12T00:00:00"/>
    <x v="0"/>
    <x v="2"/>
    <x v="1"/>
    <x v="1"/>
    <x v="1"/>
    <x v="0"/>
    <x v="0"/>
    <n v="10"/>
    <n v="20"/>
  </r>
  <r>
    <n v="3339"/>
    <x v="108"/>
    <x v="1"/>
    <d v="2024-06-13T00:00:00"/>
    <x v="1"/>
    <x v="1"/>
    <x v="2"/>
    <x v="1"/>
    <x v="1"/>
    <x v="1"/>
    <x v="1"/>
    <n v="1"/>
    <n v="4"/>
  </r>
  <r>
    <n v="3340"/>
    <x v="109"/>
    <x v="0"/>
    <d v="2024-06-14T00:00:00"/>
    <x v="0"/>
    <x v="0"/>
    <x v="0"/>
    <x v="0"/>
    <x v="0"/>
    <x v="0"/>
    <x v="0"/>
    <n v="15"/>
    <n v="50"/>
  </r>
  <r>
    <n v="3341"/>
    <x v="110"/>
    <x v="2"/>
    <d v="2024-06-15T00:00:00"/>
    <x v="1"/>
    <x v="2"/>
    <x v="0"/>
    <x v="1"/>
    <x v="1"/>
    <x v="0"/>
    <x v="0"/>
    <n v="5"/>
    <n v="25"/>
  </r>
  <r>
    <n v="3342"/>
    <x v="111"/>
    <x v="1"/>
    <d v="2024-06-16T00:00:00"/>
    <x v="0"/>
    <x v="1"/>
    <x v="1"/>
    <x v="1"/>
    <x v="1"/>
    <x v="1"/>
    <x v="1"/>
    <n v="0"/>
    <n v="5"/>
  </r>
  <r>
    <n v="3343"/>
    <x v="112"/>
    <x v="0"/>
    <d v="2024-06-17T00:00:00"/>
    <x v="1"/>
    <x v="0"/>
    <x v="2"/>
    <x v="0"/>
    <x v="0"/>
    <x v="0"/>
    <x v="0"/>
    <n v="20"/>
    <n v="45"/>
  </r>
  <r>
    <n v="3344"/>
    <x v="113"/>
    <x v="2"/>
    <d v="2024-06-18T00:00:00"/>
    <x v="0"/>
    <x v="2"/>
    <x v="2"/>
    <x v="1"/>
    <x v="1"/>
    <x v="0"/>
    <x v="0"/>
    <n v="12"/>
    <n v="18"/>
  </r>
  <r>
    <n v="3345"/>
    <x v="114"/>
    <x v="1"/>
    <d v="2024-06-19T00:00:00"/>
    <x v="1"/>
    <x v="1"/>
    <x v="0"/>
    <x v="1"/>
    <x v="1"/>
    <x v="1"/>
    <x v="1"/>
    <n v="2"/>
    <n v="3"/>
  </r>
  <r>
    <n v="3346"/>
    <x v="115"/>
    <x v="0"/>
    <d v="2024-06-20T00:00:00"/>
    <x v="0"/>
    <x v="0"/>
    <x v="1"/>
    <x v="0"/>
    <x v="0"/>
    <x v="0"/>
    <x v="0"/>
    <n v="5"/>
    <n v="60"/>
  </r>
  <r>
    <n v="3347"/>
    <x v="116"/>
    <x v="2"/>
    <d v="2024-06-21T00:00:00"/>
    <x v="1"/>
    <x v="2"/>
    <x v="0"/>
    <x v="1"/>
    <x v="1"/>
    <x v="0"/>
    <x v="0"/>
    <n v="10"/>
    <n v="20"/>
  </r>
  <r>
    <n v="3348"/>
    <x v="117"/>
    <x v="1"/>
    <d v="2024-06-22T00:00:00"/>
    <x v="0"/>
    <x v="1"/>
    <x v="2"/>
    <x v="1"/>
    <x v="1"/>
    <x v="1"/>
    <x v="1"/>
    <n v="0"/>
    <n v="5"/>
  </r>
  <r>
    <n v="3349"/>
    <x v="93"/>
    <x v="0"/>
    <d v="2024-06-23T00:00:00"/>
    <x v="1"/>
    <x v="0"/>
    <x v="0"/>
    <x v="0"/>
    <x v="0"/>
    <x v="0"/>
    <x v="0"/>
    <n v="3"/>
    <n v="62"/>
  </r>
  <r>
    <n v="3350"/>
    <x v="118"/>
    <x v="2"/>
    <d v="2024-06-24T00:00:00"/>
    <x v="0"/>
    <x v="2"/>
    <x v="1"/>
    <x v="1"/>
    <x v="1"/>
    <x v="0"/>
    <x v="0"/>
    <n v="15"/>
    <n v="15"/>
  </r>
  <r>
    <n v="3351"/>
    <x v="119"/>
    <x v="1"/>
    <d v="2024-06-25T00:00:00"/>
    <x v="1"/>
    <x v="1"/>
    <x v="0"/>
    <x v="1"/>
    <x v="1"/>
    <x v="1"/>
    <x v="1"/>
    <n v="1"/>
    <n v="4"/>
  </r>
  <r>
    <n v="3352"/>
    <x v="120"/>
    <x v="0"/>
    <d v="2024-06-26T00:00:00"/>
    <x v="0"/>
    <x v="0"/>
    <x v="2"/>
    <x v="0"/>
    <x v="0"/>
    <x v="0"/>
    <x v="0"/>
    <n v="7"/>
    <n v="58"/>
  </r>
  <r>
    <n v="3353"/>
    <x v="121"/>
    <x v="2"/>
    <d v="2024-06-27T00:00:00"/>
    <x v="1"/>
    <x v="2"/>
    <x v="0"/>
    <x v="1"/>
    <x v="1"/>
    <x v="0"/>
    <x v="0"/>
    <n v="10"/>
    <n v="20"/>
  </r>
  <r>
    <n v="3354"/>
    <x v="122"/>
    <x v="1"/>
    <d v="2024-06-28T00:00:00"/>
    <x v="0"/>
    <x v="1"/>
    <x v="1"/>
    <x v="1"/>
    <x v="1"/>
    <x v="1"/>
    <x v="1"/>
    <n v="0"/>
    <n v="5"/>
  </r>
  <r>
    <n v="3355"/>
    <x v="123"/>
    <x v="0"/>
    <d v="2024-06-29T00:00:00"/>
    <x v="1"/>
    <x v="0"/>
    <x v="0"/>
    <x v="0"/>
    <x v="0"/>
    <x v="0"/>
    <x v="0"/>
    <n v="20"/>
    <n v="45"/>
  </r>
  <r>
    <n v="3356"/>
    <x v="124"/>
    <x v="2"/>
    <d v="2024-06-30T00:00:00"/>
    <x v="0"/>
    <x v="2"/>
    <x v="2"/>
    <x v="1"/>
    <x v="1"/>
    <x v="0"/>
    <x v="0"/>
    <n v="15"/>
    <n v="15"/>
  </r>
  <r>
    <n v="3357"/>
    <x v="125"/>
    <x v="1"/>
    <d v="2024-07-01T00:00:00"/>
    <x v="1"/>
    <x v="1"/>
    <x v="0"/>
    <x v="1"/>
    <x v="1"/>
    <x v="1"/>
    <x v="1"/>
    <n v="1"/>
    <n v="4"/>
  </r>
  <r>
    <n v="3358"/>
    <x v="126"/>
    <x v="0"/>
    <d v="2024-07-02T00:00:00"/>
    <x v="0"/>
    <x v="0"/>
    <x v="1"/>
    <x v="0"/>
    <x v="0"/>
    <x v="0"/>
    <x v="0"/>
    <n v="3"/>
    <n v="62"/>
  </r>
  <r>
    <n v="3359"/>
    <x v="127"/>
    <x v="2"/>
    <d v="2024-07-03T00:00:00"/>
    <x v="1"/>
    <x v="2"/>
    <x v="0"/>
    <x v="1"/>
    <x v="1"/>
    <x v="0"/>
    <x v="0"/>
    <n v="10"/>
    <n v="20"/>
  </r>
  <r>
    <n v="3360"/>
    <x v="128"/>
    <x v="1"/>
    <d v="2024-07-04T00:00:00"/>
    <x v="0"/>
    <x v="1"/>
    <x v="2"/>
    <x v="1"/>
    <x v="1"/>
    <x v="1"/>
    <x v="1"/>
    <n v="0"/>
    <n v="5"/>
  </r>
  <r>
    <n v="3361"/>
    <x v="129"/>
    <x v="0"/>
    <d v="2024-07-05T00:00:00"/>
    <x v="1"/>
    <x v="0"/>
    <x v="0"/>
    <x v="0"/>
    <x v="0"/>
    <x v="0"/>
    <x v="0"/>
    <n v="15"/>
    <n v="50"/>
  </r>
  <r>
    <n v="3362"/>
    <x v="130"/>
    <x v="2"/>
    <d v="2024-07-06T00:00:00"/>
    <x v="0"/>
    <x v="2"/>
    <x v="1"/>
    <x v="1"/>
    <x v="1"/>
    <x v="0"/>
    <x v="0"/>
    <n v="15"/>
    <n v="15"/>
  </r>
  <r>
    <n v="3363"/>
    <x v="131"/>
    <x v="1"/>
    <d v="2024-07-07T00:00:00"/>
    <x v="1"/>
    <x v="1"/>
    <x v="0"/>
    <x v="1"/>
    <x v="1"/>
    <x v="1"/>
    <x v="1"/>
    <n v="1"/>
    <n v="4"/>
  </r>
  <r>
    <n v="3364"/>
    <x v="132"/>
    <x v="0"/>
    <d v="2024-07-08T00:00:00"/>
    <x v="0"/>
    <x v="0"/>
    <x v="2"/>
    <x v="0"/>
    <x v="0"/>
    <x v="0"/>
    <x v="0"/>
    <n v="7"/>
    <n v="58"/>
  </r>
  <r>
    <n v="3365"/>
    <x v="133"/>
    <x v="2"/>
    <d v="2024-07-09T00:00:00"/>
    <x v="1"/>
    <x v="2"/>
    <x v="0"/>
    <x v="1"/>
    <x v="1"/>
    <x v="0"/>
    <x v="0"/>
    <n v="10"/>
    <n v="20"/>
  </r>
  <r>
    <n v="3366"/>
    <x v="134"/>
    <x v="1"/>
    <d v="2024-07-10T00:00:00"/>
    <x v="0"/>
    <x v="1"/>
    <x v="0"/>
    <x v="1"/>
    <x v="1"/>
    <x v="1"/>
    <x v="1"/>
    <n v="0"/>
    <n v="5"/>
  </r>
  <r>
    <n v="3367"/>
    <x v="135"/>
    <x v="0"/>
    <d v="2024-07-11T00:00:00"/>
    <x v="1"/>
    <x v="0"/>
    <x v="2"/>
    <x v="0"/>
    <x v="0"/>
    <x v="0"/>
    <x v="0"/>
    <n v="7"/>
    <n v="58"/>
  </r>
  <r>
    <n v="3368"/>
    <x v="136"/>
    <x v="2"/>
    <d v="2024-07-12T00:00:00"/>
    <x v="0"/>
    <x v="2"/>
    <x v="1"/>
    <x v="1"/>
    <x v="1"/>
    <x v="0"/>
    <x v="0"/>
    <n v="10"/>
    <n v="20"/>
  </r>
  <r>
    <n v="3369"/>
    <x v="137"/>
    <x v="1"/>
    <d v="2024-07-13T00:00:00"/>
    <x v="1"/>
    <x v="1"/>
    <x v="2"/>
    <x v="1"/>
    <x v="1"/>
    <x v="1"/>
    <x v="1"/>
    <n v="1"/>
    <n v="4"/>
  </r>
  <r>
    <n v="3370"/>
    <x v="138"/>
    <x v="0"/>
    <d v="2024-07-14T00:00:00"/>
    <x v="0"/>
    <x v="0"/>
    <x v="0"/>
    <x v="0"/>
    <x v="0"/>
    <x v="0"/>
    <x v="0"/>
    <n v="15"/>
    <n v="50"/>
  </r>
  <r>
    <n v="3371"/>
    <x v="139"/>
    <x v="2"/>
    <d v="2024-07-15T00:00:00"/>
    <x v="1"/>
    <x v="2"/>
    <x v="0"/>
    <x v="1"/>
    <x v="1"/>
    <x v="0"/>
    <x v="0"/>
    <n v="5"/>
    <n v="25"/>
  </r>
  <r>
    <n v="3372"/>
    <x v="140"/>
    <x v="1"/>
    <d v="2024-07-16T00:00:00"/>
    <x v="0"/>
    <x v="1"/>
    <x v="1"/>
    <x v="1"/>
    <x v="1"/>
    <x v="1"/>
    <x v="1"/>
    <n v="0"/>
    <n v="5"/>
  </r>
  <r>
    <n v="3373"/>
    <x v="141"/>
    <x v="0"/>
    <d v="2024-07-17T00:00:00"/>
    <x v="1"/>
    <x v="0"/>
    <x v="2"/>
    <x v="0"/>
    <x v="0"/>
    <x v="0"/>
    <x v="0"/>
    <n v="20"/>
    <n v="45"/>
  </r>
  <r>
    <n v="3374"/>
    <x v="142"/>
    <x v="2"/>
    <d v="2024-07-18T00:00:00"/>
    <x v="0"/>
    <x v="2"/>
    <x v="2"/>
    <x v="1"/>
    <x v="1"/>
    <x v="0"/>
    <x v="0"/>
    <n v="12"/>
    <n v="18"/>
  </r>
  <r>
    <n v="3375"/>
    <x v="143"/>
    <x v="1"/>
    <d v="2024-07-19T00:00:00"/>
    <x v="1"/>
    <x v="1"/>
    <x v="0"/>
    <x v="1"/>
    <x v="1"/>
    <x v="1"/>
    <x v="1"/>
    <n v="2"/>
    <n v="3"/>
  </r>
  <r>
    <n v="3376"/>
    <x v="144"/>
    <x v="0"/>
    <d v="2024-07-20T00:00:00"/>
    <x v="0"/>
    <x v="0"/>
    <x v="1"/>
    <x v="0"/>
    <x v="0"/>
    <x v="0"/>
    <x v="0"/>
    <n v="5"/>
    <n v="60"/>
  </r>
  <r>
    <n v="3377"/>
    <x v="145"/>
    <x v="2"/>
    <d v="2024-07-21T00:00:00"/>
    <x v="1"/>
    <x v="2"/>
    <x v="0"/>
    <x v="1"/>
    <x v="1"/>
    <x v="0"/>
    <x v="0"/>
    <n v="10"/>
    <n v="20"/>
  </r>
  <r>
    <n v="3378"/>
    <x v="146"/>
    <x v="1"/>
    <d v="2024-07-22T00:00:00"/>
    <x v="0"/>
    <x v="1"/>
    <x v="2"/>
    <x v="1"/>
    <x v="1"/>
    <x v="1"/>
    <x v="1"/>
    <n v="0"/>
    <n v="5"/>
  </r>
  <r>
    <n v="3379"/>
    <x v="147"/>
    <x v="0"/>
    <d v="2024-07-23T00:00:00"/>
    <x v="1"/>
    <x v="0"/>
    <x v="0"/>
    <x v="0"/>
    <x v="0"/>
    <x v="0"/>
    <x v="0"/>
    <n v="3"/>
    <n v="62"/>
  </r>
  <r>
    <n v="3380"/>
    <x v="148"/>
    <x v="2"/>
    <d v="2024-07-24T00:00:00"/>
    <x v="0"/>
    <x v="2"/>
    <x v="1"/>
    <x v="1"/>
    <x v="1"/>
    <x v="0"/>
    <x v="0"/>
    <n v="15"/>
    <n v="15"/>
  </r>
  <r>
    <n v="3381"/>
    <x v="149"/>
    <x v="1"/>
    <d v="2024-07-25T00:00:00"/>
    <x v="1"/>
    <x v="1"/>
    <x v="0"/>
    <x v="1"/>
    <x v="1"/>
    <x v="1"/>
    <x v="1"/>
    <n v="1"/>
    <n v="4"/>
  </r>
  <r>
    <n v="3382"/>
    <x v="150"/>
    <x v="0"/>
    <d v="2024-07-26T00:00:00"/>
    <x v="0"/>
    <x v="0"/>
    <x v="2"/>
    <x v="0"/>
    <x v="0"/>
    <x v="0"/>
    <x v="0"/>
    <n v="7"/>
    <n v="58"/>
  </r>
  <r>
    <n v="3383"/>
    <x v="151"/>
    <x v="2"/>
    <d v="2024-07-27T00:00:00"/>
    <x v="1"/>
    <x v="2"/>
    <x v="0"/>
    <x v="1"/>
    <x v="1"/>
    <x v="0"/>
    <x v="0"/>
    <n v="10"/>
    <n v="20"/>
  </r>
  <r>
    <n v="3384"/>
    <x v="152"/>
    <x v="1"/>
    <d v="2024-07-28T00:00:00"/>
    <x v="0"/>
    <x v="1"/>
    <x v="1"/>
    <x v="1"/>
    <x v="1"/>
    <x v="1"/>
    <x v="1"/>
    <n v="0"/>
    <n v="5"/>
  </r>
  <r>
    <n v="3385"/>
    <x v="153"/>
    <x v="0"/>
    <d v="2024-07-29T00:00:00"/>
    <x v="1"/>
    <x v="0"/>
    <x v="0"/>
    <x v="0"/>
    <x v="0"/>
    <x v="0"/>
    <x v="0"/>
    <n v="20"/>
    <n v="45"/>
  </r>
  <r>
    <n v="3386"/>
    <x v="154"/>
    <x v="2"/>
    <d v="2024-07-30T00:00:00"/>
    <x v="0"/>
    <x v="2"/>
    <x v="2"/>
    <x v="1"/>
    <x v="1"/>
    <x v="0"/>
    <x v="0"/>
    <n v="15"/>
    <n v="15"/>
  </r>
  <r>
    <n v="3387"/>
    <x v="155"/>
    <x v="1"/>
    <d v="2024-07-31T00:00:00"/>
    <x v="1"/>
    <x v="1"/>
    <x v="0"/>
    <x v="1"/>
    <x v="1"/>
    <x v="1"/>
    <x v="1"/>
    <n v="1"/>
    <n v="4"/>
  </r>
  <r>
    <n v="3388"/>
    <x v="156"/>
    <x v="0"/>
    <d v="2024-08-01T00:00:00"/>
    <x v="0"/>
    <x v="0"/>
    <x v="1"/>
    <x v="0"/>
    <x v="0"/>
    <x v="0"/>
    <x v="0"/>
    <n v="3"/>
    <n v="62"/>
  </r>
  <r>
    <n v="3389"/>
    <x v="157"/>
    <x v="2"/>
    <d v="2024-08-02T00:00:00"/>
    <x v="1"/>
    <x v="2"/>
    <x v="0"/>
    <x v="1"/>
    <x v="1"/>
    <x v="0"/>
    <x v="0"/>
    <n v="10"/>
    <n v="20"/>
  </r>
  <r>
    <n v="3390"/>
    <x v="158"/>
    <x v="1"/>
    <d v="2024-08-03T00:00:00"/>
    <x v="0"/>
    <x v="1"/>
    <x v="2"/>
    <x v="1"/>
    <x v="1"/>
    <x v="1"/>
    <x v="1"/>
    <n v="0"/>
    <n v="5"/>
  </r>
  <r>
    <n v="3391"/>
    <x v="58"/>
    <x v="0"/>
    <d v="2024-08-04T00:00:00"/>
    <x v="1"/>
    <x v="0"/>
    <x v="0"/>
    <x v="0"/>
    <x v="0"/>
    <x v="0"/>
    <x v="0"/>
    <n v="15"/>
    <n v="50"/>
  </r>
  <r>
    <n v="3392"/>
    <x v="159"/>
    <x v="2"/>
    <d v="2024-08-05T00:00:00"/>
    <x v="0"/>
    <x v="2"/>
    <x v="1"/>
    <x v="1"/>
    <x v="1"/>
    <x v="0"/>
    <x v="0"/>
    <n v="15"/>
    <n v="15"/>
  </r>
  <r>
    <n v="3393"/>
    <x v="160"/>
    <x v="1"/>
    <d v="2024-08-06T00:00:00"/>
    <x v="1"/>
    <x v="1"/>
    <x v="0"/>
    <x v="1"/>
    <x v="1"/>
    <x v="1"/>
    <x v="1"/>
    <n v="1"/>
    <n v="4"/>
  </r>
  <r>
    <n v="3394"/>
    <x v="161"/>
    <x v="0"/>
    <d v="2024-08-07T00:00:00"/>
    <x v="0"/>
    <x v="0"/>
    <x v="2"/>
    <x v="0"/>
    <x v="0"/>
    <x v="0"/>
    <x v="0"/>
    <n v="7"/>
    <n v="58"/>
  </r>
  <r>
    <n v="3395"/>
    <x v="162"/>
    <x v="2"/>
    <d v="2024-08-08T00:00:00"/>
    <x v="1"/>
    <x v="2"/>
    <x v="0"/>
    <x v="1"/>
    <x v="1"/>
    <x v="0"/>
    <x v="0"/>
    <n v="10"/>
    <n v="20"/>
  </r>
  <r>
    <n v="3396"/>
    <x v="163"/>
    <x v="1"/>
    <d v="2024-08-09T00:00:00"/>
    <x v="0"/>
    <x v="1"/>
    <x v="1"/>
    <x v="1"/>
    <x v="1"/>
    <x v="1"/>
    <x v="1"/>
    <n v="0"/>
    <n v="5"/>
  </r>
  <r>
    <n v="3397"/>
    <x v="90"/>
    <x v="0"/>
    <d v="2024-08-10T00:00:00"/>
    <x v="1"/>
    <x v="0"/>
    <x v="0"/>
    <x v="0"/>
    <x v="0"/>
    <x v="0"/>
    <x v="0"/>
    <n v="20"/>
    <n v="45"/>
  </r>
  <r>
    <n v="3398"/>
    <x v="164"/>
    <x v="2"/>
    <d v="2024-08-11T00:00:00"/>
    <x v="0"/>
    <x v="2"/>
    <x v="2"/>
    <x v="1"/>
    <x v="1"/>
    <x v="0"/>
    <x v="0"/>
    <n v="15"/>
    <n v="15"/>
  </r>
  <r>
    <n v="3399"/>
    <x v="165"/>
    <x v="1"/>
    <d v="2024-08-12T00:00:00"/>
    <x v="1"/>
    <x v="1"/>
    <x v="0"/>
    <x v="1"/>
    <x v="1"/>
    <x v="1"/>
    <x v="1"/>
    <n v="1"/>
    <n v="4"/>
  </r>
  <r>
    <n v="3400"/>
    <x v="166"/>
    <x v="0"/>
    <d v="2024-08-13T00:00:00"/>
    <x v="0"/>
    <x v="0"/>
    <x v="1"/>
    <x v="0"/>
    <x v="0"/>
    <x v="0"/>
    <x v="0"/>
    <n v="5"/>
    <n v="60"/>
  </r>
  <r>
    <n v="3401"/>
    <x v="167"/>
    <x v="2"/>
    <d v="2024-08-14T00:00:00"/>
    <x v="1"/>
    <x v="2"/>
    <x v="0"/>
    <x v="1"/>
    <x v="1"/>
    <x v="0"/>
    <x v="0"/>
    <n v="10"/>
    <n v="20"/>
  </r>
  <r>
    <n v="3402"/>
    <x v="168"/>
    <x v="1"/>
    <d v="2024-08-15T00:00:00"/>
    <x v="0"/>
    <x v="1"/>
    <x v="2"/>
    <x v="1"/>
    <x v="1"/>
    <x v="1"/>
    <x v="1"/>
    <n v="0"/>
    <n v="5"/>
  </r>
  <r>
    <n v="3403"/>
    <x v="169"/>
    <x v="0"/>
    <d v="2024-08-16T00:00:00"/>
    <x v="1"/>
    <x v="0"/>
    <x v="0"/>
    <x v="0"/>
    <x v="0"/>
    <x v="0"/>
    <x v="0"/>
    <n v="3"/>
    <n v="62"/>
  </r>
  <r>
    <n v="3404"/>
    <x v="170"/>
    <x v="2"/>
    <d v="2024-08-17T00:00:00"/>
    <x v="0"/>
    <x v="2"/>
    <x v="1"/>
    <x v="1"/>
    <x v="1"/>
    <x v="0"/>
    <x v="0"/>
    <n v="15"/>
    <n v="15"/>
  </r>
  <r>
    <n v="3405"/>
    <x v="171"/>
    <x v="1"/>
    <d v="2024-08-18T00:00:00"/>
    <x v="1"/>
    <x v="1"/>
    <x v="0"/>
    <x v="1"/>
    <x v="1"/>
    <x v="1"/>
    <x v="1"/>
    <n v="1"/>
    <n v="4"/>
  </r>
  <r>
    <n v="3406"/>
    <x v="172"/>
    <x v="1"/>
    <d v="2024-08-19T00:00:00"/>
    <x v="0"/>
    <x v="1"/>
    <x v="0"/>
    <x v="1"/>
    <x v="1"/>
    <x v="1"/>
    <x v="1"/>
    <n v="0"/>
    <n v="5"/>
  </r>
  <r>
    <n v="3407"/>
    <x v="173"/>
    <x v="0"/>
    <d v="2024-08-20T00:00:00"/>
    <x v="1"/>
    <x v="0"/>
    <x v="2"/>
    <x v="0"/>
    <x v="0"/>
    <x v="0"/>
    <x v="0"/>
    <n v="7"/>
    <n v="58"/>
  </r>
  <r>
    <n v="3408"/>
    <x v="174"/>
    <x v="2"/>
    <d v="2024-08-21T00:00:00"/>
    <x v="0"/>
    <x v="2"/>
    <x v="1"/>
    <x v="1"/>
    <x v="1"/>
    <x v="0"/>
    <x v="0"/>
    <n v="10"/>
    <n v="20"/>
  </r>
  <r>
    <n v="3409"/>
    <x v="175"/>
    <x v="1"/>
    <d v="2024-08-22T00:00:00"/>
    <x v="1"/>
    <x v="1"/>
    <x v="2"/>
    <x v="1"/>
    <x v="1"/>
    <x v="1"/>
    <x v="1"/>
    <n v="1"/>
    <n v="4"/>
  </r>
  <r>
    <n v="3410"/>
    <x v="176"/>
    <x v="0"/>
    <d v="2024-08-23T00:00:00"/>
    <x v="0"/>
    <x v="0"/>
    <x v="0"/>
    <x v="0"/>
    <x v="0"/>
    <x v="0"/>
    <x v="0"/>
    <n v="15"/>
    <n v="50"/>
  </r>
  <r>
    <n v="3411"/>
    <x v="177"/>
    <x v="2"/>
    <d v="2024-08-24T00:00:00"/>
    <x v="1"/>
    <x v="2"/>
    <x v="0"/>
    <x v="1"/>
    <x v="1"/>
    <x v="0"/>
    <x v="0"/>
    <n v="5"/>
    <n v="25"/>
  </r>
  <r>
    <n v="3412"/>
    <x v="178"/>
    <x v="1"/>
    <d v="2024-08-25T00:00:00"/>
    <x v="0"/>
    <x v="1"/>
    <x v="1"/>
    <x v="1"/>
    <x v="1"/>
    <x v="1"/>
    <x v="1"/>
    <n v="0"/>
    <n v="5"/>
  </r>
  <r>
    <n v="3413"/>
    <x v="179"/>
    <x v="0"/>
    <d v="2024-08-26T00:00:00"/>
    <x v="1"/>
    <x v="0"/>
    <x v="2"/>
    <x v="0"/>
    <x v="0"/>
    <x v="0"/>
    <x v="0"/>
    <n v="20"/>
    <n v="45"/>
  </r>
  <r>
    <n v="3414"/>
    <x v="180"/>
    <x v="2"/>
    <d v="2024-08-27T00:00:00"/>
    <x v="0"/>
    <x v="2"/>
    <x v="2"/>
    <x v="1"/>
    <x v="1"/>
    <x v="0"/>
    <x v="0"/>
    <n v="12"/>
    <n v="18"/>
  </r>
  <r>
    <n v="3415"/>
    <x v="181"/>
    <x v="1"/>
    <d v="2024-08-28T00:00:00"/>
    <x v="1"/>
    <x v="1"/>
    <x v="0"/>
    <x v="1"/>
    <x v="1"/>
    <x v="1"/>
    <x v="1"/>
    <n v="2"/>
    <n v="3"/>
  </r>
  <r>
    <n v="3416"/>
    <x v="182"/>
    <x v="0"/>
    <d v="2024-08-29T00:00:00"/>
    <x v="0"/>
    <x v="0"/>
    <x v="1"/>
    <x v="0"/>
    <x v="0"/>
    <x v="0"/>
    <x v="0"/>
    <n v="5"/>
    <n v="60"/>
  </r>
  <r>
    <n v="3417"/>
    <x v="183"/>
    <x v="2"/>
    <d v="2024-08-30T00:00:00"/>
    <x v="1"/>
    <x v="2"/>
    <x v="0"/>
    <x v="1"/>
    <x v="1"/>
    <x v="0"/>
    <x v="0"/>
    <n v="10"/>
    <n v="20"/>
  </r>
  <r>
    <n v="3418"/>
    <x v="184"/>
    <x v="1"/>
    <d v="2024-08-31T00:00:00"/>
    <x v="0"/>
    <x v="1"/>
    <x v="2"/>
    <x v="1"/>
    <x v="1"/>
    <x v="1"/>
    <x v="1"/>
    <n v="0"/>
    <n v="5"/>
  </r>
  <r>
    <n v="3419"/>
    <x v="185"/>
    <x v="0"/>
    <d v="2024-09-01T00:00:00"/>
    <x v="1"/>
    <x v="0"/>
    <x v="0"/>
    <x v="0"/>
    <x v="0"/>
    <x v="0"/>
    <x v="0"/>
    <n v="3"/>
    <n v="62"/>
  </r>
  <r>
    <n v="3420"/>
    <x v="186"/>
    <x v="2"/>
    <d v="2024-09-02T00:00:00"/>
    <x v="0"/>
    <x v="2"/>
    <x v="1"/>
    <x v="1"/>
    <x v="1"/>
    <x v="0"/>
    <x v="0"/>
    <n v="15"/>
    <n v="15"/>
  </r>
  <r>
    <n v="3421"/>
    <x v="15"/>
    <x v="1"/>
    <d v="2024-09-03T00:00:00"/>
    <x v="1"/>
    <x v="1"/>
    <x v="0"/>
    <x v="1"/>
    <x v="1"/>
    <x v="1"/>
    <x v="1"/>
    <n v="1"/>
    <n v="4"/>
  </r>
  <r>
    <n v="3422"/>
    <x v="187"/>
    <x v="0"/>
    <d v="2024-09-04T00:00:00"/>
    <x v="0"/>
    <x v="0"/>
    <x v="2"/>
    <x v="0"/>
    <x v="0"/>
    <x v="0"/>
    <x v="0"/>
    <n v="7"/>
    <n v="58"/>
  </r>
  <r>
    <n v="3423"/>
    <x v="188"/>
    <x v="2"/>
    <d v="2024-09-05T00:00:00"/>
    <x v="1"/>
    <x v="2"/>
    <x v="0"/>
    <x v="1"/>
    <x v="1"/>
    <x v="0"/>
    <x v="0"/>
    <n v="10"/>
    <n v="20"/>
  </r>
  <r>
    <n v="3424"/>
    <x v="14"/>
    <x v="1"/>
    <d v="2024-09-06T00:00:00"/>
    <x v="0"/>
    <x v="1"/>
    <x v="1"/>
    <x v="1"/>
    <x v="1"/>
    <x v="1"/>
    <x v="1"/>
    <n v="0"/>
    <n v="5"/>
  </r>
  <r>
    <n v="3425"/>
    <x v="189"/>
    <x v="0"/>
    <d v="2024-09-07T00:00:00"/>
    <x v="1"/>
    <x v="0"/>
    <x v="0"/>
    <x v="0"/>
    <x v="0"/>
    <x v="0"/>
    <x v="0"/>
    <n v="20"/>
    <n v="45"/>
  </r>
  <r>
    <n v="3426"/>
    <x v="167"/>
    <x v="2"/>
    <d v="2024-09-08T00:00:00"/>
    <x v="0"/>
    <x v="2"/>
    <x v="2"/>
    <x v="1"/>
    <x v="1"/>
    <x v="0"/>
    <x v="0"/>
    <n v="15"/>
    <n v="15"/>
  </r>
  <r>
    <n v="3427"/>
    <x v="190"/>
    <x v="1"/>
    <d v="2024-09-09T00:00:00"/>
    <x v="1"/>
    <x v="1"/>
    <x v="0"/>
    <x v="1"/>
    <x v="1"/>
    <x v="1"/>
    <x v="1"/>
    <n v="1"/>
    <n v="4"/>
  </r>
  <r>
    <n v="3428"/>
    <x v="191"/>
    <x v="0"/>
    <d v="2024-09-10T00:00:00"/>
    <x v="0"/>
    <x v="0"/>
    <x v="1"/>
    <x v="0"/>
    <x v="0"/>
    <x v="0"/>
    <x v="0"/>
    <n v="3"/>
    <n v="62"/>
  </r>
  <r>
    <n v="3429"/>
    <x v="192"/>
    <x v="2"/>
    <d v="2024-09-11T00:00:00"/>
    <x v="1"/>
    <x v="2"/>
    <x v="0"/>
    <x v="1"/>
    <x v="1"/>
    <x v="0"/>
    <x v="0"/>
    <n v="10"/>
    <n v="20"/>
  </r>
  <r>
    <n v="3430"/>
    <x v="193"/>
    <x v="1"/>
    <d v="2024-09-12T00:00:00"/>
    <x v="0"/>
    <x v="1"/>
    <x v="2"/>
    <x v="1"/>
    <x v="1"/>
    <x v="1"/>
    <x v="1"/>
    <n v="0"/>
    <n v="5"/>
  </r>
  <r>
    <n v="3431"/>
    <x v="194"/>
    <x v="0"/>
    <d v="2024-09-13T00:00:00"/>
    <x v="1"/>
    <x v="0"/>
    <x v="0"/>
    <x v="0"/>
    <x v="0"/>
    <x v="0"/>
    <x v="0"/>
    <n v="15"/>
    <n v="50"/>
  </r>
  <r>
    <n v="3432"/>
    <x v="195"/>
    <x v="2"/>
    <d v="2024-09-14T00:00:00"/>
    <x v="0"/>
    <x v="2"/>
    <x v="1"/>
    <x v="1"/>
    <x v="1"/>
    <x v="0"/>
    <x v="0"/>
    <n v="15"/>
    <n v="15"/>
  </r>
  <r>
    <n v="3433"/>
    <x v="196"/>
    <x v="1"/>
    <d v="2024-09-15T00:00:00"/>
    <x v="1"/>
    <x v="1"/>
    <x v="0"/>
    <x v="1"/>
    <x v="1"/>
    <x v="1"/>
    <x v="1"/>
    <n v="1"/>
    <n v="4"/>
  </r>
  <r>
    <n v="3434"/>
    <x v="197"/>
    <x v="0"/>
    <d v="2024-09-16T00:00:00"/>
    <x v="0"/>
    <x v="0"/>
    <x v="2"/>
    <x v="0"/>
    <x v="0"/>
    <x v="0"/>
    <x v="0"/>
    <n v="7"/>
    <n v="58"/>
  </r>
  <r>
    <n v="3435"/>
    <x v="198"/>
    <x v="2"/>
    <d v="2024-09-17T00:00:00"/>
    <x v="1"/>
    <x v="2"/>
    <x v="0"/>
    <x v="1"/>
    <x v="1"/>
    <x v="0"/>
    <x v="0"/>
    <n v="10"/>
    <n v="20"/>
  </r>
  <r>
    <n v="3436"/>
    <x v="199"/>
    <x v="1"/>
    <d v="2024-09-18T00:00:00"/>
    <x v="0"/>
    <x v="1"/>
    <x v="0"/>
    <x v="1"/>
    <x v="1"/>
    <x v="1"/>
    <x v="1"/>
    <n v="0"/>
    <n v="5"/>
  </r>
  <r>
    <n v="3437"/>
    <x v="200"/>
    <x v="0"/>
    <d v="2024-09-19T00:00:00"/>
    <x v="1"/>
    <x v="0"/>
    <x v="2"/>
    <x v="0"/>
    <x v="0"/>
    <x v="0"/>
    <x v="0"/>
    <n v="7"/>
    <n v="58"/>
  </r>
  <r>
    <n v="3438"/>
    <x v="201"/>
    <x v="2"/>
    <d v="2024-09-20T00:00:00"/>
    <x v="0"/>
    <x v="2"/>
    <x v="1"/>
    <x v="1"/>
    <x v="1"/>
    <x v="0"/>
    <x v="0"/>
    <n v="10"/>
    <n v="20"/>
  </r>
  <r>
    <n v="3439"/>
    <x v="202"/>
    <x v="1"/>
    <d v="2024-09-21T00:00:00"/>
    <x v="1"/>
    <x v="1"/>
    <x v="2"/>
    <x v="1"/>
    <x v="1"/>
    <x v="1"/>
    <x v="1"/>
    <n v="1"/>
    <n v="4"/>
  </r>
  <r>
    <n v="3440"/>
    <x v="203"/>
    <x v="0"/>
    <d v="2024-09-22T00:00:00"/>
    <x v="0"/>
    <x v="0"/>
    <x v="0"/>
    <x v="0"/>
    <x v="0"/>
    <x v="0"/>
    <x v="0"/>
    <n v="15"/>
    <n v="50"/>
  </r>
  <r>
    <n v="3441"/>
    <x v="204"/>
    <x v="2"/>
    <d v="2024-09-23T00:00:00"/>
    <x v="1"/>
    <x v="2"/>
    <x v="0"/>
    <x v="1"/>
    <x v="1"/>
    <x v="0"/>
    <x v="0"/>
    <n v="5"/>
    <n v="25"/>
  </r>
  <r>
    <n v="3442"/>
    <x v="205"/>
    <x v="1"/>
    <d v="2024-09-24T00:00:00"/>
    <x v="0"/>
    <x v="1"/>
    <x v="1"/>
    <x v="1"/>
    <x v="1"/>
    <x v="1"/>
    <x v="1"/>
    <n v="0"/>
    <n v="5"/>
  </r>
  <r>
    <n v="3443"/>
    <x v="206"/>
    <x v="0"/>
    <d v="2024-09-25T00:00:00"/>
    <x v="1"/>
    <x v="0"/>
    <x v="2"/>
    <x v="0"/>
    <x v="0"/>
    <x v="0"/>
    <x v="0"/>
    <n v="20"/>
    <n v="45"/>
  </r>
  <r>
    <n v="3444"/>
    <x v="207"/>
    <x v="2"/>
    <d v="2024-09-26T00:00:00"/>
    <x v="0"/>
    <x v="2"/>
    <x v="2"/>
    <x v="1"/>
    <x v="1"/>
    <x v="0"/>
    <x v="0"/>
    <n v="12"/>
    <n v="18"/>
  </r>
  <r>
    <n v="3445"/>
    <x v="37"/>
    <x v="1"/>
    <d v="2024-09-27T00:00:00"/>
    <x v="1"/>
    <x v="1"/>
    <x v="0"/>
    <x v="1"/>
    <x v="1"/>
    <x v="1"/>
    <x v="1"/>
    <n v="2"/>
    <n v="3"/>
  </r>
  <r>
    <n v="3446"/>
    <x v="208"/>
    <x v="0"/>
    <d v="2024-09-28T00:00:00"/>
    <x v="0"/>
    <x v="0"/>
    <x v="1"/>
    <x v="0"/>
    <x v="0"/>
    <x v="0"/>
    <x v="0"/>
    <n v="5"/>
    <n v="60"/>
  </r>
  <r>
    <n v="3447"/>
    <x v="209"/>
    <x v="2"/>
    <d v="2024-09-29T00:00:00"/>
    <x v="1"/>
    <x v="2"/>
    <x v="0"/>
    <x v="1"/>
    <x v="1"/>
    <x v="0"/>
    <x v="0"/>
    <n v="10"/>
    <n v="20"/>
  </r>
  <r>
    <n v="3448"/>
    <x v="210"/>
    <x v="1"/>
    <d v="2024-09-30T00:00:00"/>
    <x v="0"/>
    <x v="1"/>
    <x v="2"/>
    <x v="1"/>
    <x v="1"/>
    <x v="1"/>
    <x v="1"/>
    <n v="0"/>
    <n v="5"/>
  </r>
  <r>
    <n v="3449"/>
    <x v="211"/>
    <x v="0"/>
    <d v="2024-10-01T00:00:00"/>
    <x v="1"/>
    <x v="0"/>
    <x v="0"/>
    <x v="0"/>
    <x v="0"/>
    <x v="0"/>
    <x v="0"/>
    <n v="3"/>
    <n v="62"/>
  </r>
  <r>
    <n v="3450"/>
    <x v="212"/>
    <x v="2"/>
    <d v="2024-10-02T00:00:00"/>
    <x v="0"/>
    <x v="2"/>
    <x v="1"/>
    <x v="1"/>
    <x v="1"/>
    <x v="0"/>
    <x v="0"/>
    <n v="15"/>
    <n v="15"/>
  </r>
  <r>
    <n v="3451"/>
    <x v="213"/>
    <x v="1"/>
    <d v="2024-10-03T00:00:00"/>
    <x v="1"/>
    <x v="1"/>
    <x v="0"/>
    <x v="1"/>
    <x v="1"/>
    <x v="1"/>
    <x v="1"/>
    <n v="1"/>
    <n v="4"/>
  </r>
  <r>
    <n v="3452"/>
    <x v="191"/>
    <x v="0"/>
    <d v="2024-10-04T00:00:00"/>
    <x v="0"/>
    <x v="0"/>
    <x v="2"/>
    <x v="0"/>
    <x v="0"/>
    <x v="0"/>
    <x v="0"/>
    <n v="7"/>
    <n v="58"/>
  </r>
  <r>
    <n v="3453"/>
    <x v="45"/>
    <x v="2"/>
    <d v="2024-10-05T00:00:00"/>
    <x v="1"/>
    <x v="2"/>
    <x v="0"/>
    <x v="1"/>
    <x v="1"/>
    <x v="0"/>
    <x v="0"/>
    <n v="10"/>
    <n v="20"/>
  </r>
  <r>
    <n v="3454"/>
    <x v="214"/>
    <x v="1"/>
    <d v="2024-10-06T00:00:00"/>
    <x v="0"/>
    <x v="1"/>
    <x v="1"/>
    <x v="1"/>
    <x v="1"/>
    <x v="1"/>
    <x v="1"/>
    <n v="0"/>
    <n v="5"/>
  </r>
  <r>
    <n v="3455"/>
    <x v="215"/>
    <x v="0"/>
    <d v="2024-10-07T00:00:00"/>
    <x v="1"/>
    <x v="0"/>
    <x v="0"/>
    <x v="0"/>
    <x v="0"/>
    <x v="0"/>
    <x v="0"/>
    <n v="20"/>
    <n v="45"/>
  </r>
  <r>
    <n v="3456"/>
    <x v="216"/>
    <x v="2"/>
    <d v="2024-10-08T00:00:00"/>
    <x v="0"/>
    <x v="2"/>
    <x v="2"/>
    <x v="1"/>
    <x v="1"/>
    <x v="0"/>
    <x v="0"/>
    <n v="15"/>
    <n v="15"/>
  </r>
  <r>
    <n v="3457"/>
    <x v="217"/>
    <x v="1"/>
    <d v="2024-10-09T00:00:00"/>
    <x v="1"/>
    <x v="1"/>
    <x v="0"/>
    <x v="1"/>
    <x v="1"/>
    <x v="1"/>
    <x v="1"/>
    <n v="1"/>
    <n v="4"/>
  </r>
  <r>
    <n v="3458"/>
    <x v="218"/>
    <x v="0"/>
    <d v="2024-10-10T00:00:00"/>
    <x v="0"/>
    <x v="0"/>
    <x v="1"/>
    <x v="0"/>
    <x v="0"/>
    <x v="0"/>
    <x v="0"/>
    <n v="3"/>
    <n v="62"/>
  </r>
  <r>
    <n v="3459"/>
    <x v="219"/>
    <x v="2"/>
    <d v="2024-10-11T00:00:00"/>
    <x v="1"/>
    <x v="2"/>
    <x v="0"/>
    <x v="1"/>
    <x v="1"/>
    <x v="0"/>
    <x v="0"/>
    <n v="10"/>
    <n v="20"/>
  </r>
  <r>
    <n v="3460"/>
    <x v="127"/>
    <x v="1"/>
    <d v="2024-10-12T00:00:00"/>
    <x v="0"/>
    <x v="1"/>
    <x v="2"/>
    <x v="1"/>
    <x v="1"/>
    <x v="1"/>
    <x v="1"/>
    <n v="0"/>
    <n v="5"/>
  </r>
  <r>
    <n v="3461"/>
    <x v="220"/>
    <x v="0"/>
    <d v="2024-10-13T00:00:00"/>
    <x v="1"/>
    <x v="0"/>
    <x v="0"/>
    <x v="0"/>
    <x v="0"/>
    <x v="0"/>
    <x v="0"/>
    <n v="15"/>
    <n v="50"/>
  </r>
  <r>
    <n v="3462"/>
    <x v="221"/>
    <x v="2"/>
    <d v="2024-10-14T00:00:00"/>
    <x v="0"/>
    <x v="2"/>
    <x v="1"/>
    <x v="1"/>
    <x v="1"/>
    <x v="0"/>
    <x v="0"/>
    <n v="15"/>
    <n v="15"/>
  </r>
  <r>
    <n v="3463"/>
    <x v="222"/>
    <x v="1"/>
    <d v="2024-10-15T00:00:00"/>
    <x v="1"/>
    <x v="1"/>
    <x v="0"/>
    <x v="1"/>
    <x v="1"/>
    <x v="1"/>
    <x v="1"/>
    <n v="1"/>
    <n v="4"/>
  </r>
  <r>
    <n v="3464"/>
    <x v="223"/>
    <x v="0"/>
    <d v="2024-10-16T00:00:00"/>
    <x v="0"/>
    <x v="0"/>
    <x v="2"/>
    <x v="0"/>
    <x v="0"/>
    <x v="0"/>
    <x v="0"/>
    <n v="7"/>
    <n v="58"/>
  </r>
  <r>
    <n v="3465"/>
    <x v="224"/>
    <x v="2"/>
    <d v="2024-10-17T00:00:00"/>
    <x v="1"/>
    <x v="2"/>
    <x v="0"/>
    <x v="1"/>
    <x v="1"/>
    <x v="0"/>
    <x v="0"/>
    <n v="10"/>
    <n v="20"/>
  </r>
  <r>
    <n v="3466"/>
    <x v="225"/>
    <x v="1"/>
    <d v="2024-10-18T00:00:00"/>
    <x v="0"/>
    <x v="1"/>
    <x v="1"/>
    <x v="1"/>
    <x v="1"/>
    <x v="1"/>
    <x v="1"/>
    <n v="0"/>
    <n v="5"/>
  </r>
  <r>
    <n v="3467"/>
    <x v="226"/>
    <x v="0"/>
    <d v="2024-10-19T00:00:00"/>
    <x v="1"/>
    <x v="0"/>
    <x v="0"/>
    <x v="0"/>
    <x v="0"/>
    <x v="0"/>
    <x v="0"/>
    <n v="15"/>
    <n v="50"/>
  </r>
  <r>
    <n v="3468"/>
    <x v="227"/>
    <x v="2"/>
    <d v="2024-10-20T00:00:00"/>
    <x v="0"/>
    <x v="2"/>
    <x v="2"/>
    <x v="1"/>
    <x v="1"/>
    <x v="0"/>
    <x v="0"/>
    <n v="12"/>
    <n v="18"/>
  </r>
  <r>
    <n v="3469"/>
    <x v="228"/>
    <x v="1"/>
    <d v="2024-10-21T00:00:00"/>
    <x v="1"/>
    <x v="1"/>
    <x v="0"/>
    <x v="1"/>
    <x v="1"/>
    <x v="1"/>
    <x v="1"/>
    <n v="2"/>
    <n v="3"/>
  </r>
  <r>
    <n v="3470"/>
    <x v="229"/>
    <x v="0"/>
    <d v="2024-10-22T00:00:00"/>
    <x v="0"/>
    <x v="0"/>
    <x v="1"/>
    <x v="0"/>
    <x v="0"/>
    <x v="0"/>
    <x v="0"/>
    <n v="5"/>
    <n v="60"/>
  </r>
  <r>
    <n v="3471"/>
    <x v="230"/>
    <x v="2"/>
    <d v="2024-10-23T00:00:00"/>
    <x v="1"/>
    <x v="2"/>
    <x v="0"/>
    <x v="1"/>
    <x v="1"/>
    <x v="0"/>
    <x v="0"/>
    <n v="10"/>
    <n v="20"/>
  </r>
  <r>
    <n v="3472"/>
    <x v="231"/>
    <x v="1"/>
    <d v="2024-10-24T00:00:00"/>
    <x v="0"/>
    <x v="1"/>
    <x v="2"/>
    <x v="1"/>
    <x v="1"/>
    <x v="1"/>
    <x v="1"/>
    <n v="0"/>
    <n v="5"/>
  </r>
  <r>
    <n v="3473"/>
    <x v="140"/>
    <x v="0"/>
    <d v="2024-10-25T00:00:00"/>
    <x v="1"/>
    <x v="0"/>
    <x v="0"/>
    <x v="0"/>
    <x v="0"/>
    <x v="0"/>
    <x v="0"/>
    <n v="3"/>
    <n v="62"/>
  </r>
  <r>
    <n v="3474"/>
    <x v="232"/>
    <x v="2"/>
    <d v="2024-10-26T00:00:00"/>
    <x v="0"/>
    <x v="2"/>
    <x v="1"/>
    <x v="1"/>
    <x v="1"/>
    <x v="0"/>
    <x v="0"/>
    <n v="15"/>
    <n v="15"/>
  </r>
  <r>
    <n v="3475"/>
    <x v="233"/>
    <x v="1"/>
    <d v="2024-10-27T00:00:00"/>
    <x v="1"/>
    <x v="1"/>
    <x v="0"/>
    <x v="1"/>
    <x v="1"/>
    <x v="1"/>
    <x v="1"/>
    <n v="1"/>
    <n v="4"/>
  </r>
  <r>
    <n v="3476"/>
    <x v="234"/>
    <x v="0"/>
    <d v="2024-10-28T00:00:00"/>
    <x v="0"/>
    <x v="0"/>
    <x v="2"/>
    <x v="0"/>
    <x v="0"/>
    <x v="0"/>
    <x v="0"/>
    <n v="7"/>
    <n v="58"/>
  </r>
  <r>
    <n v="3477"/>
    <x v="235"/>
    <x v="2"/>
    <d v="2024-10-29T00:00:00"/>
    <x v="1"/>
    <x v="2"/>
    <x v="0"/>
    <x v="1"/>
    <x v="1"/>
    <x v="0"/>
    <x v="0"/>
    <n v="10"/>
    <n v="20"/>
  </r>
  <r>
    <n v="3478"/>
    <x v="236"/>
    <x v="1"/>
    <d v="2024-10-30T00:00:00"/>
    <x v="0"/>
    <x v="1"/>
    <x v="1"/>
    <x v="1"/>
    <x v="1"/>
    <x v="1"/>
    <x v="1"/>
    <n v="0"/>
    <n v="5"/>
  </r>
  <r>
    <n v="3479"/>
    <x v="237"/>
    <x v="0"/>
    <d v="2024-10-31T00:00:00"/>
    <x v="1"/>
    <x v="0"/>
    <x v="0"/>
    <x v="0"/>
    <x v="0"/>
    <x v="0"/>
    <x v="0"/>
    <n v="20"/>
    <n v="45"/>
  </r>
  <r>
    <n v="3480"/>
    <x v="238"/>
    <x v="2"/>
    <d v="2024-11-01T00:00:00"/>
    <x v="0"/>
    <x v="2"/>
    <x v="2"/>
    <x v="1"/>
    <x v="1"/>
    <x v="0"/>
    <x v="0"/>
    <n v="15"/>
    <n v="15"/>
  </r>
  <r>
    <n v="3481"/>
    <x v="239"/>
    <x v="1"/>
    <d v="2024-11-02T00:00:00"/>
    <x v="1"/>
    <x v="1"/>
    <x v="0"/>
    <x v="1"/>
    <x v="1"/>
    <x v="1"/>
    <x v="1"/>
    <n v="1"/>
    <n v="4"/>
  </r>
  <r>
    <n v="3482"/>
    <x v="240"/>
    <x v="0"/>
    <d v="2024-11-03T00:00:00"/>
    <x v="0"/>
    <x v="0"/>
    <x v="1"/>
    <x v="0"/>
    <x v="0"/>
    <x v="0"/>
    <x v="0"/>
    <n v="3"/>
    <n v="62"/>
  </r>
  <r>
    <n v="3483"/>
    <x v="241"/>
    <x v="2"/>
    <d v="2024-11-04T00:00:00"/>
    <x v="1"/>
    <x v="2"/>
    <x v="0"/>
    <x v="1"/>
    <x v="1"/>
    <x v="0"/>
    <x v="0"/>
    <n v="10"/>
    <n v="20"/>
  </r>
  <r>
    <n v="3484"/>
    <x v="242"/>
    <x v="1"/>
    <d v="2024-11-05T00:00:00"/>
    <x v="0"/>
    <x v="1"/>
    <x v="2"/>
    <x v="1"/>
    <x v="1"/>
    <x v="1"/>
    <x v="1"/>
    <n v="0"/>
    <n v="5"/>
  </r>
  <r>
    <n v="3485"/>
    <x v="243"/>
    <x v="0"/>
    <d v="2024-11-06T00:00:00"/>
    <x v="1"/>
    <x v="0"/>
    <x v="0"/>
    <x v="0"/>
    <x v="0"/>
    <x v="0"/>
    <x v="0"/>
    <n v="15"/>
    <n v="50"/>
  </r>
  <r>
    <n v="3486"/>
    <x v="244"/>
    <x v="1"/>
    <d v="2024-11-07T00:00:00"/>
    <x v="0"/>
    <x v="1"/>
    <x v="0"/>
    <x v="1"/>
    <x v="1"/>
    <x v="1"/>
    <x v="1"/>
    <n v="0"/>
    <n v="5"/>
  </r>
  <r>
    <n v="3487"/>
    <x v="245"/>
    <x v="0"/>
    <d v="2024-11-08T00:00:00"/>
    <x v="1"/>
    <x v="0"/>
    <x v="2"/>
    <x v="0"/>
    <x v="0"/>
    <x v="0"/>
    <x v="0"/>
    <n v="7"/>
    <n v="58"/>
  </r>
  <r>
    <n v="3488"/>
    <x v="246"/>
    <x v="2"/>
    <d v="2024-11-09T00:00:00"/>
    <x v="0"/>
    <x v="2"/>
    <x v="1"/>
    <x v="1"/>
    <x v="1"/>
    <x v="0"/>
    <x v="0"/>
    <n v="10"/>
    <n v="20"/>
  </r>
  <r>
    <n v="3489"/>
    <x v="247"/>
    <x v="1"/>
    <d v="2024-11-10T00:00:00"/>
    <x v="1"/>
    <x v="1"/>
    <x v="2"/>
    <x v="1"/>
    <x v="1"/>
    <x v="1"/>
    <x v="1"/>
    <n v="1"/>
    <n v="4"/>
  </r>
  <r>
    <n v="3490"/>
    <x v="248"/>
    <x v="0"/>
    <d v="2024-11-11T00:00:00"/>
    <x v="0"/>
    <x v="0"/>
    <x v="0"/>
    <x v="0"/>
    <x v="0"/>
    <x v="0"/>
    <x v="0"/>
    <n v="15"/>
    <n v="50"/>
  </r>
  <r>
    <n v="3491"/>
    <x v="249"/>
    <x v="2"/>
    <d v="2024-11-12T00:00:00"/>
    <x v="1"/>
    <x v="2"/>
    <x v="0"/>
    <x v="1"/>
    <x v="1"/>
    <x v="0"/>
    <x v="0"/>
    <n v="5"/>
    <n v="25"/>
  </r>
  <r>
    <n v="3492"/>
    <x v="250"/>
    <x v="1"/>
    <d v="2024-11-13T00:00:00"/>
    <x v="0"/>
    <x v="1"/>
    <x v="1"/>
    <x v="1"/>
    <x v="1"/>
    <x v="1"/>
    <x v="1"/>
    <n v="0"/>
    <n v="5"/>
  </r>
  <r>
    <n v="3493"/>
    <x v="251"/>
    <x v="0"/>
    <d v="2024-11-14T00:00:00"/>
    <x v="1"/>
    <x v="0"/>
    <x v="2"/>
    <x v="0"/>
    <x v="0"/>
    <x v="0"/>
    <x v="0"/>
    <n v="20"/>
    <n v="45"/>
  </r>
  <r>
    <n v="3494"/>
    <x v="252"/>
    <x v="2"/>
    <d v="2024-11-15T00:00:00"/>
    <x v="0"/>
    <x v="2"/>
    <x v="2"/>
    <x v="1"/>
    <x v="1"/>
    <x v="0"/>
    <x v="0"/>
    <n v="12"/>
    <n v="18"/>
  </r>
  <r>
    <n v="3495"/>
    <x v="253"/>
    <x v="1"/>
    <d v="2024-11-16T00:00:00"/>
    <x v="1"/>
    <x v="1"/>
    <x v="0"/>
    <x v="1"/>
    <x v="1"/>
    <x v="1"/>
    <x v="1"/>
    <n v="2"/>
    <n v="3"/>
  </r>
  <r>
    <n v="3496"/>
    <x v="254"/>
    <x v="0"/>
    <d v="2024-11-17T00:00:00"/>
    <x v="0"/>
    <x v="0"/>
    <x v="1"/>
    <x v="0"/>
    <x v="0"/>
    <x v="0"/>
    <x v="0"/>
    <n v="5"/>
    <n v="60"/>
  </r>
  <r>
    <n v="3497"/>
    <x v="255"/>
    <x v="2"/>
    <d v="2024-11-18T00:00:00"/>
    <x v="1"/>
    <x v="2"/>
    <x v="0"/>
    <x v="1"/>
    <x v="1"/>
    <x v="0"/>
    <x v="0"/>
    <n v="10"/>
    <n v="20"/>
  </r>
  <r>
    <n v="3498"/>
    <x v="256"/>
    <x v="1"/>
    <d v="2024-11-19T00:00:00"/>
    <x v="0"/>
    <x v="1"/>
    <x v="2"/>
    <x v="1"/>
    <x v="1"/>
    <x v="1"/>
    <x v="1"/>
    <n v="0"/>
    <n v="5"/>
  </r>
  <r>
    <n v="3499"/>
    <x v="257"/>
    <x v="0"/>
    <d v="2024-11-20T00:00:00"/>
    <x v="1"/>
    <x v="0"/>
    <x v="0"/>
    <x v="0"/>
    <x v="0"/>
    <x v="0"/>
    <x v="0"/>
    <n v="3"/>
    <n v="62"/>
  </r>
  <r>
    <n v="3500"/>
    <x v="258"/>
    <x v="2"/>
    <d v="2024-11-21T00:00:00"/>
    <x v="0"/>
    <x v="2"/>
    <x v="1"/>
    <x v="1"/>
    <x v="1"/>
    <x v="0"/>
    <x v="0"/>
    <n v="15"/>
    <n v="15"/>
  </r>
  <r>
    <n v="3501"/>
    <x v="259"/>
    <x v="1"/>
    <d v="2024-11-22T00:00:00"/>
    <x v="1"/>
    <x v="1"/>
    <x v="0"/>
    <x v="1"/>
    <x v="1"/>
    <x v="1"/>
    <x v="1"/>
    <n v="1"/>
    <n v="4"/>
  </r>
  <r>
    <n v="3502"/>
    <x v="260"/>
    <x v="0"/>
    <d v="2024-11-23T00:00:00"/>
    <x v="0"/>
    <x v="0"/>
    <x v="2"/>
    <x v="0"/>
    <x v="0"/>
    <x v="0"/>
    <x v="0"/>
    <n v="7"/>
    <n v="58"/>
  </r>
  <r>
    <n v="3503"/>
    <x v="119"/>
    <x v="2"/>
    <d v="2024-11-24T00:00:00"/>
    <x v="1"/>
    <x v="2"/>
    <x v="0"/>
    <x v="1"/>
    <x v="1"/>
    <x v="0"/>
    <x v="0"/>
    <n v="10"/>
    <n v="20"/>
  </r>
  <r>
    <n v="3504"/>
    <x v="261"/>
    <x v="1"/>
    <d v="2024-11-25T00:00:00"/>
    <x v="0"/>
    <x v="1"/>
    <x v="1"/>
    <x v="1"/>
    <x v="1"/>
    <x v="1"/>
    <x v="1"/>
    <n v="0"/>
    <n v="5"/>
  </r>
  <r>
    <n v="3505"/>
    <x v="262"/>
    <x v="0"/>
    <d v="2024-11-26T00:00:00"/>
    <x v="1"/>
    <x v="0"/>
    <x v="0"/>
    <x v="0"/>
    <x v="0"/>
    <x v="0"/>
    <x v="0"/>
    <n v="20"/>
    <n v="45"/>
  </r>
  <r>
    <n v="3506"/>
    <x v="263"/>
    <x v="2"/>
    <d v="2024-11-27T00:00:00"/>
    <x v="0"/>
    <x v="2"/>
    <x v="2"/>
    <x v="1"/>
    <x v="1"/>
    <x v="0"/>
    <x v="0"/>
    <n v="15"/>
    <n v="15"/>
  </r>
  <r>
    <n v="3507"/>
    <x v="264"/>
    <x v="1"/>
    <d v="2024-11-28T00:00:00"/>
    <x v="1"/>
    <x v="1"/>
    <x v="0"/>
    <x v="1"/>
    <x v="1"/>
    <x v="1"/>
    <x v="1"/>
    <n v="1"/>
    <n v="4"/>
  </r>
  <r>
    <n v="3508"/>
    <x v="265"/>
    <x v="0"/>
    <d v="2024-11-29T00:00:00"/>
    <x v="0"/>
    <x v="0"/>
    <x v="1"/>
    <x v="0"/>
    <x v="0"/>
    <x v="0"/>
    <x v="0"/>
    <n v="3"/>
    <n v="62"/>
  </r>
  <r>
    <n v="3509"/>
    <x v="266"/>
    <x v="2"/>
    <d v="2024-11-30T00:00:00"/>
    <x v="1"/>
    <x v="2"/>
    <x v="0"/>
    <x v="1"/>
    <x v="1"/>
    <x v="0"/>
    <x v="0"/>
    <n v="10"/>
    <n v="20"/>
  </r>
  <r>
    <n v="3510"/>
    <x v="267"/>
    <x v="1"/>
    <d v="2024-12-01T00:00:00"/>
    <x v="0"/>
    <x v="1"/>
    <x v="2"/>
    <x v="1"/>
    <x v="1"/>
    <x v="1"/>
    <x v="1"/>
    <n v="0"/>
    <n v="5"/>
  </r>
  <r>
    <n v="3511"/>
    <x v="268"/>
    <x v="0"/>
    <d v="2024-12-02T00:00:00"/>
    <x v="1"/>
    <x v="0"/>
    <x v="0"/>
    <x v="0"/>
    <x v="0"/>
    <x v="0"/>
    <x v="0"/>
    <n v="15"/>
    <n v="50"/>
  </r>
  <r>
    <n v="3512"/>
    <x v="269"/>
    <x v="2"/>
    <d v="2024-12-03T00:00:00"/>
    <x v="0"/>
    <x v="2"/>
    <x v="1"/>
    <x v="1"/>
    <x v="1"/>
    <x v="0"/>
    <x v="0"/>
    <n v="15"/>
    <n v="15"/>
  </r>
  <r>
    <n v="3513"/>
    <x v="270"/>
    <x v="1"/>
    <d v="2024-12-04T00:00:00"/>
    <x v="1"/>
    <x v="1"/>
    <x v="0"/>
    <x v="1"/>
    <x v="1"/>
    <x v="1"/>
    <x v="1"/>
    <n v="1"/>
    <n v="4"/>
  </r>
  <r>
    <n v="3514"/>
    <x v="271"/>
    <x v="0"/>
    <d v="2024-12-05T00:00:00"/>
    <x v="0"/>
    <x v="0"/>
    <x v="2"/>
    <x v="0"/>
    <x v="0"/>
    <x v="0"/>
    <x v="0"/>
    <n v="7"/>
    <n v="58"/>
  </r>
  <r>
    <n v="3515"/>
    <x v="130"/>
    <x v="2"/>
    <d v="2024-12-06T00:00:00"/>
    <x v="1"/>
    <x v="2"/>
    <x v="0"/>
    <x v="1"/>
    <x v="1"/>
    <x v="0"/>
    <x v="0"/>
    <n v="10"/>
    <n v="20"/>
  </r>
  <r>
    <n v="3516"/>
    <x v="131"/>
    <x v="1"/>
    <d v="2024-12-07T00:00:00"/>
    <x v="0"/>
    <x v="1"/>
    <x v="1"/>
    <x v="1"/>
    <x v="1"/>
    <x v="1"/>
    <x v="1"/>
    <n v="0"/>
    <n v="5"/>
  </r>
  <r>
    <n v="3517"/>
    <x v="181"/>
    <x v="0"/>
    <d v="2024-12-08T00:00:00"/>
    <x v="1"/>
    <x v="0"/>
    <x v="0"/>
    <x v="0"/>
    <x v="0"/>
    <x v="0"/>
    <x v="0"/>
    <n v="20"/>
    <n v="45"/>
  </r>
  <r>
    <n v="3518"/>
    <x v="272"/>
    <x v="2"/>
    <d v="2024-12-09T00:00:00"/>
    <x v="0"/>
    <x v="2"/>
    <x v="2"/>
    <x v="1"/>
    <x v="1"/>
    <x v="0"/>
    <x v="0"/>
    <n v="12"/>
    <n v="18"/>
  </r>
  <r>
    <n v="3519"/>
    <x v="273"/>
    <x v="1"/>
    <d v="2024-12-10T00:00:00"/>
    <x v="1"/>
    <x v="1"/>
    <x v="0"/>
    <x v="1"/>
    <x v="1"/>
    <x v="1"/>
    <x v="1"/>
    <n v="2"/>
    <n v="3"/>
  </r>
  <r>
    <n v="3520"/>
    <x v="274"/>
    <x v="0"/>
    <d v="2024-12-11T00:00:00"/>
    <x v="0"/>
    <x v="0"/>
    <x v="1"/>
    <x v="0"/>
    <x v="0"/>
    <x v="0"/>
    <x v="0"/>
    <n v="5"/>
    <n v="60"/>
  </r>
  <r>
    <n v="3521"/>
    <x v="275"/>
    <x v="2"/>
    <d v="2024-12-12T00:00:00"/>
    <x v="1"/>
    <x v="2"/>
    <x v="0"/>
    <x v="1"/>
    <x v="1"/>
    <x v="0"/>
    <x v="0"/>
    <n v="10"/>
    <n v="20"/>
  </r>
  <r>
    <n v="3522"/>
    <x v="276"/>
    <x v="1"/>
    <d v="2024-12-13T00:00:00"/>
    <x v="0"/>
    <x v="1"/>
    <x v="2"/>
    <x v="1"/>
    <x v="1"/>
    <x v="1"/>
    <x v="1"/>
    <n v="0"/>
    <n v="5"/>
  </r>
  <r>
    <n v="3523"/>
    <x v="277"/>
    <x v="0"/>
    <d v="2024-12-14T00:00:00"/>
    <x v="1"/>
    <x v="0"/>
    <x v="0"/>
    <x v="0"/>
    <x v="0"/>
    <x v="0"/>
    <x v="0"/>
    <n v="3"/>
    <n v="62"/>
  </r>
  <r>
    <n v="3524"/>
    <x v="278"/>
    <x v="2"/>
    <d v="2024-12-15T00:00:00"/>
    <x v="0"/>
    <x v="2"/>
    <x v="1"/>
    <x v="1"/>
    <x v="1"/>
    <x v="0"/>
    <x v="0"/>
    <n v="15"/>
    <n v="15"/>
  </r>
  <r>
    <n v="3525"/>
    <x v="279"/>
    <x v="1"/>
    <d v="2024-12-16T00:00:00"/>
    <x v="1"/>
    <x v="1"/>
    <x v="0"/>
    <x v="1"/>
    <x v="1"/>
    <x v="1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42CF9-0D93-4799-9824-DFB283F3531F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Tbl_anual_total">
  <location ref="A3:B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name="Segmentação de Vendas" axis="axisPage" showAll="0">
      <items count="4">
        <item x="1"/>
        <item sd="0" x="0"/>
        <item sd="0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42CF9-0D93-4799-9824-DFB283F3531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Tbl_anual_total">
  <location ref="A3:B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name="Segmentação de Vendas" axis="axisPage" showAll="0">
      <items count="4">
        <item x="1"/>
        <item sd="0" x="0"/>
        <item sd="0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3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42CF9-0D93-4799-9824-DFB283F3531F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Tbl_anual_total">
  <location ref="A3:B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name="Segmentação de Vendas" axis="axisPage" showAll="0">
      <items count="4">
        <item x="1"/>
        <item sd="0" x="0"/>
        <item sd="0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0A012-36CD-4B73-BDD9-EE982ED684D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Tbl_Eaplayseasonpass_total">
  <location ref="I6:J1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sd="0" x="0"/>
        <item sd="0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D2736-BE06-46A8-95D4-9D7ACF98A590}" name="Tbl_Eaplay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Tbl_Eaplayseasonpass_total">
  <location ref="F15:G1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sd="0" x="0"/>
        <item sd="0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 numFmtId="164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42CF9-0D93-4799-9824-DFB283F3531F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Tbl_anual_total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name="Subscription Type" axis="axisPage" multipleItemSelectionAllowed="1" showAll="0">
      <items count="4">
        <item x="1"/>
        <item sd="0" x="0"/>
        <item sd="0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>
      <items count="3">
        <item x="1"/>
        <item x="0"/>
        <item t="default"/>
      </items>
    </pivotField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0421DE7-FF26-4DD5-95E1-1C9EF2751254}" sourceName="Subscription Type">
  <pivotTables>
    <pivotTable tabId="3" name="Tbl_anual_total"/>
    <pivotTable tabId="3" name="Tbl_Eaplayseasonpass_total"/>
    <pivotTable tabId="3" name="Tabela dinâmica1"/>
  </pivotTables>
  <data>
    <tabular pivotCacheId="727489431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550E40B-35A2-4EA1-8B46-2699F4B5A950}" cache="SegmentaçãodeDados_Subscription_Type" caption="Segmentação por Período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5">
  <autoFilter ref="A1:M296" xr:uid="{34E0E886-4200-4B36-97B3-63DB74FF40A0}"/>
  <tableColumns count="13">
    <tableColumn id="1" xr3:uid="{C4A90516-688A-46BF-9167-EA16C2A8A652}" name="Subscriber ID" dataDxfId="24"/>
    <tableColumn id="2" xr3:uid="{53DD39D0-2220-4121-9E9D-4EAA7E151C0F}" name="Name" dataDxfId="23"/>
    <tableColumn id="3" xr3:uid="{4F5FF271-4C57-4BE0-8F2C-F82C8551625C}" name="Plan" dataDxfId="22"/>
    <tableColumn id="4" xr3:uid="{8C17EB93-79B9-4E55-B8F7-BEB82F8253E9}" name="Start Date" dataDxfId="21"/>
    <tableColumn id="5" xr3:uid="{48CEDF9B-1689-482A-A828-5CCE7713264A}" name="Auto Renewal" dataDxfId="20"/>
    <tableColumn id="6" xr3:uid="{78B82374-9AA7-4E38-AE4F-78CDE6C83720}" name="Subscription Price" dataDxfId="19" dataCellStyle="Moeda"/>
    <tableColumn id="7" xr3:uid="{F2433F68-AF33-49D0-B1FB-19A396074EDE}" name="Subscription Type" dataDxfId="18"/>
    <tableColumn id="8" xr3:uid="{FD4D9C95-F6E5-4933-9068-A71FF7DF9343}" name="EA Play Season Pass" dataDxfId="17"/>
    <tableColumn id="13" xr3:uid="{978DD0D2-834E-4CE4-A39B-30976086932F}" name="EA Play Season Pass_x000a_Price" dataDxfId="16" dataCellStyle="Moeda"/>
    <tableColumn id="9" xr3:uid="{6E29F111-C395-4580-9DAD-3407D9E8B1A4}" name="Minecraft Season Pass" dataDxfId="15"/>
    <tableColumn id="10" xr3:uid="{EF544EAA-7F25-4FD5-A10E-8E62804DB9E3}" name="Minecraft Season Pass Price" dataDxfId="14" dataCellStyle="Moeda"/>
    <tableColumn id="11" xr3:uid="{7F6EB64A-1F07-4E48-9F0F-AC7D9DCD26F8}" name="Coupon Value" dataDxfId="13" dataCellStyle="Moeda"/>
    <tableColumn id="12" xr3:uid="{2B04ABC8-DE6F-426E-ADC0-D8AFC68CA58E}" name="Total Value" dataDxfId="1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BF6A8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P27" sqref="P2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A2" sqref="A2:M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9152-2C5D-4E23-A17B-74F01CEBF7CA}">
  <dimension ref="A1:B6"/>
  <sheetViews>
    <sheetView workbookViewId="0"/>
  </sheetViews>
  <sheetFormatPr defaultRowHeight="15" x14ac:dyDescent="0.25"/>
  <cols>
    <col min="1" max="1" width="22.85546875" bestFit="1" customWidth="1"/>
    <col min="2" max="2" width="19.28515625" bestFit="1" customWidth="1"/>
  </cols>
  <sheetData>
    <row r="1" spans="1:2" x14ac:dyDescent="0.25">
      <c r="A1" s="13" t="s">
        <v>323</v>
      </c>
      <c r="B1" t="s">
        <v>24</v>
      </c>
    </row>
    <row r="3" spans="1:2" x14ac:dyDescent="0.25">
      <c r="A3" s="13" t="s">
        <v>316</v>
      </c>
      <c r="B3" t="s">
        <v>314</v>
      </c>
    </row>
    <row r="4" spans="1:2" x14ac:dyDescent="0.25">
      <c r="A4" s="14" t="s">
        <v>23</v>
      </c>
      <c r="B4" s="12">
        <v>217</v>
      </c>
    </row>
    <row r="5" spans="1:2" x14ac:dyDescent="0.25">
      <c r="A5" s="14" t="s">
        <v>19</v>
      </c>
      <c r="B5" s="12">
        <v>1537</v>
      </c>
    </row>
    <row r="6" spans="1:2" x14ac:dyDescent="0.25">
      <c r="A6" s="14" t="s">
        <v>315</v>
      </c>
      <c r="B6" s="12">
        <v>1754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8E29-4C63-437B-B272-BA0179DA5970}">
  <dimension ref="A1:B6"/>
  <sheetViews>
    <sheetView workbookViewId="0"/>
  </sheetViews>
  <sheetFormatPr defaultRowHeight="15" x14ac:dyDescent="0.25"/>
  <cols>
    <col min="1" max="1" width="22.85546875" bestFit="1" customWidth="1"/>
    <col min="2" max="2" width="19.28515625" bestFit="1" customWidth="1"/>
  </cols>
  <sheetData>
    <row r="1" spans="1:2" x14ac:dyDescent="0.25">
      <c r="A1" s="13" t="s">
        <v>323</v>
      </c>
      <c r="B1" t="s">
        <v>20</v>
      </c>
    </row>
    <row r="3" spans="1:2" x14ac:dyDescent="0.25">
      <c r="A3" s="13" t="s">
        <v>316</v>
      </c>
      <c r="B3" t="s">
        <v>314</v>
      </c>
    </row>
    <row r="4" spans="1:2" x14ac:dyDescent="0.25">
      <c r="A4" s="14" t="s">
        <v>23</v>
      </c>
      <c r="B4" s="12">
        <v>2824</v>
      </c>
    </row>
    <row r="5" spans="1:2" x14ac:dyDescent="0.25">
      <c r="A5" s="14" t="s">
        <v>19</v>
      </c>
      <c r="B5" s="12">
        <v>747</v>
      </c>
    </row>
    <row r="6" spans="1:2" x14ac:dyDescent="0.25">
      <c r="A6" s="14" t="s">
        <v>315</v>
      </c>
      <c r="B6" s="12">
        <v>3571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2B3F-EB0E-4D50-BC3D-E1379F1D033A}">
  <dimension ref="A1:B6"/>
  <sheetViews>
    <sheetView workbookViewId="0"/>
  </sheetViews>
  <sheetFormatPr defaultRowHeight="15" x14ac:dyDescent="0.25"/>
  <cols>
    <col min="1" max="1" width="22.85546875" bestFit="1" customWidth="1"/>
    <col min="2" max="2" width="19.28515625" bestFit="1" customWidth="1"/>
  </cols>
  <sheetData>
    <row r="1" spans="1:2" x14ac:dyDescent="0.25">
      <c r="A1" s="13" t="s">
        <v>323</v>
      </c>
      <c r="B1" t="s">
        <v>27</v>
      </c>
    </row>
    <row r="3" spans="1:2" x14ac:dyDescent="0.25">
      <c r="A3" s="13" t="s">
        <v>316</v>
      </c>
      <c r="B3" t="s">
        <v>314</v>
      </c>
    </row>
    <row r="4" spans="1:2" x14ac:dyDescent="0.25">
      <c r="A4" s="14" t="s">
        <v>23</v>
      </c>
      <c r="B4" s="12">
        <v>806</v>
      </c>
    </row>
    <row r="5" spans="1:2" x14ac:dyDescent="0.25">
      <c r="A5" s="14" t="s">
        <v>19</v>
      </c>
      <c r="B5" s="12">
        <v>1502</v>
      </c>
    </row>
    <row r="6" spans="1:2" x14ac:dyDescent="0.25">
      <c r="A6" s="14" t="s">
        <v>315</v>
      </c>
      <c r="B6" s="12">
        <v>2308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K19"/>
  <sheetViews>
    <sheetView showGridLines="0" workbookViewId="0">
      <selection activeCell="C16" sqref="C16"/>
    </sheetView>
  </sheetViews>
  <sheetFormatPr defaultRowHeight="15" x14ac:dyDescent="0.25"/>
  <cols>
    <col min="2" max="2" width="22.85546875" bestFit="1" customWidth="1"/>
    <col min="3" max="3" width="19.28515625" bestFit="1" customWidth="1"/>
    <col min="4" max="5" width="12.28515625" bestFit="1" customWidth="1"/>
    <col min="6" max="6" width="28.85546875" bestFit="1" customWidth="1"/>
    <col min="7" max="7" width="27.7109375" bestFit="1" customWidth="1"/>
    <col min="8" max="8" width="14.7109375" customWidth="1"/>
    <col min="9" max="9" width="28.8554687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11" x14ac:dyDescent="0.25">
      <c r="I3" t="s">
        <v>328</v>
      </c>
    </row>
    <row r="4" spans="2:11" x14ac:dyDescent="0.25">
      <c r="B4" t="s">
        <v>313</v>
      </c>
      <c r="I4" s="19" t="s">
        <v>16</v>
      </c>
      <c r="J4" s="18" t="s">
        <v>317</v>
      </c>
    </row>
    <row r="5" spans="2:11" x14ac:dyDescent="0.25">
      <c r="B5" t="s">
        <v>318</v>
      </c>
      <c r="I5" s="18"/>
      <c r="J5" s="18"/>
    </row>
    <row r="6" spans="2:11" x14ac:dyDescent="0.25">
      <c r="B6" s="13" t="s">
        <v>16</v>
      </c>
      <c r="C6" t="s">
        <v>317</v>
      </c>
      <c r="I6" s="19" t="s">
        <v>321</v>
      </c>
      <c r="J6" s="18" t="s">
        <v>322</v>
      </c>
    </row>
    <row r="7" spans="2:11" x14ac:dyDescent="0.25">
      <c r="I7" s="20" t="s">
        <v>22</v>
      </c>
      <c r="J7" s="18">
        <v>0</v>
      </c>
    </row>
    <row r="8" spans="2:11" x14ac:dyDescent="0.25">
      <c r="B8" s="13" t="s">
        <v>316</v>
      </c>
      <c r="C8" t="s">
        <v>314</v>
      </c>
      <c r="I8" s="20" t="s">
        <v>26</v>
      </c>
      <c r="J8" s="18">
        <v>1920</v>
      </c>
    </row>
    <row r="9" spans="2:11" x14ac:dyDescent="0.25">
      <c r="B9" s="14" t="s">
        <v>23</v>
      </c>
      <c r="C9" s="12">
        <v>3847</v>
      </c>
      <c r="F9" t="s">
        <v>327</v>
      </c>
      <c r="I9" s="20" t="s">
        <v>18</v>
      </c>
      <c r="J9" s="18">
        <v>1960</v>
      </c>
    </row>
    <row r="10" spans="2:11" x14ac:dyDescent="0.25">
      <c r="B10" s="14" t="s">
        <v>19</v>
      </c>
      <c r="C10" s="12">
        <v>3786</v>
      </c>
      <c r="I10" s="20" t="s">
        <v>315</v>
      </c>
      <c r="J10" s="18">
        <v>3880</v>
      </c>
      <c r="K10" s="18">
        <f>GETPIVOTDATA("Minecraft Season Pass Price",$I$6)</f>
        <v>3880</v>
      </c>
    </row>
    <row r="11" spans="2:11" x14ac:dyDescent="0.25">
      <c r="B11" s="14" t="s">
        <v>315</v>
      </c>
      <c r="C11" s="12">
        <v>7633</v>
      </c>
      <c r="D11" s="18">
        <f>GETPIVOTDATA("Total Value",$B$8)</f>
        <v>7633</v>
      </c>
    </row>
    <row r="13" spans="2:11" x14ac:dyDescent="0.25">
      <c r="F13" s="19" t="s">
        <v>16</v>
      </c>
      <c r="G13" s="18" t="s">
        <v>317</v>
      </c>
    </row>
    <row r="14" spans="2:11" x14ac:dyDescent="0.25">
      <c r="F14" s="18"/>
      <c r="G14" s="18"/>
    </row>
    <row r="15" spans="2:11" x14ac:dyDescent="0.25">
      <c r="F15" s="19" t="s">
        <v>321</v>
      </c>
      <c r="G15" s="18" t="s">
        <v>320</v>
      </c>
    </row>
    <row r="16" spans="2:11" x14ac:dyDescent="0.25">
      <c r="F16" s="20" t="s">
        <v>22</v>
      </c>
      <c r="G16" s="18">
        <v>0</v>
      </c>
    </row>
    <row r="17" spans="6:8" x14ac:dyDescent="0.25">
      <c r="F17" s="20" t="s">
        <v>26</v>
      </c>
      <c r="G17" s="18">
        <v>0</v>
      </c>
    </row>
    <row r="18" spans="6:8" x14ac:dyDescent="0.25">
      <c r="F18" s="20" t="s">
        <v>18</v>
      </c>
      <c r="G18" s="18">
        <v>2940</v>
      </c>
    </row>
    <row r="19" spans="6:8" x14ac:dyDescent="0.25">
      <c r="F19" s="20" t="s">
        <v>315</v>
      </c>
      <c r="G19" s="18">
        <v>2940</v>
      </c>
      <c r="H19" s="18">
        <f>GETPIVOTDATA("EA Play Season Pass
Price",C̳álculos!$F$15)</f>
        <v>2940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N9"/>
  <sheetViews>
    <sheetView showGridLines="0" tabSelected="1" zoomScale="70" zoomScaleNormal="70" workbookViewId="0">
      <selection activeCell="L2" sqref="L2"/>
    </sheetView>
  </sheetViews>
  <sheetFormatPr defaultRowHeight="15" x14ac:dyDescent="0.25"/>
  <cols>
    <col min="1" max="1" width="41.28515625" style="17" customWidth="1"/>
    <col min="2" max="2" width="3.5703125" style="7" customWidth="1"/>
    <col min="3" max="4" width="9.140625" style="7"/>
    <col min="5" max="5" width="14" style="7" customWidth="1"/>
    <col min="6" max="11" width="9.140625" style="7"/>
    <col min="12" max="12" width="6.5703125" style="7" customWidth="1"/>
    <col min="13" max="17" width="9.140625" style="7"/>
    <col min="18" max="18" width="9.140625" style="7" customWidth="1"/>
    <col min="19" max="19" width="11.28515625" style="7" customWidth="1"/>
    <col min="20" max="66" width="9.140625" style="7"/>
  </cols>
  <sheetData>
    <row r="1" spans="1:66" ht="53.25" customHeight="1" thickBot="1" x14ac:dyDescent="0.75">
      <c r="B1" s="16" t="s">
        <v>319</v>
      </c>
      <c r="C1" s="24" t="s">
        <v>325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</row>
    <row r="2" spans="1:66" ht="17.25" customHeight="1" thickTop="1" x14ac:dyDescent="0.3">
      <c r="B2" s="15"/>
      <c r="C2" s="25" t="s">
        <v>326</v>
      </c>
      <c r="D2" s="25"/>
      <c r="E2" s="25"/>
      <c r="F2" s="25"/>
      <c r="G2" s="25"/>
      <c r="H2" s="25"/>
      <c r="I2" s="25"/>
      <c r="J2" s="2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</row>
    <row r="3" spans="1:66" ht="8.25" customHeight="1" x14ac:dyDescent="0.25">
      <c r="C3" s="23"/>
      <c r="D3" s="23"/>
      <c r="E3" s="23"/>
      <c r="F3" s="23"/>
    </row>
    <row r="4" spans="1:66" ht="7.5" customHeight="1" x14ac:dyDescent="0.25">
      <c r="A4" s="21"/>
      <c r="C4" s="23"/>
      <c r="D4" s="23"/>
      <c r="E4" s="23"/>
      <c r="F4" s="23"/>
    </row>
    <row r="5" spans="1:66" ht="20.25" customHeight="1" x14ac:dyDescent="0.25">
      <c r="A5" s="22" t="s">
        <v>324</v>
      </c>
      <c r="C5" s="23"/>
      <c r="D5" s="23"/>
      <c r="E5" s="23"/>
      <c r="F5" s="23"/>
    </row>
    <row r="6" spans="1:66" ht="9.75" customHeight="1" x14ac:dyDescent="0.25">
      <c r="C6" s="23"/>
      <c r="D6" s="23"/>
      <c r="E6" s="23"/>
      <c r="F6" s="23"/>
    </row>
    <row r="7" spans="1:66" ht="33" customHeight="1" x14ac:dyDescent="0.25">
      <c r="C7" s="23"/>
      <c r="D7" s="23"/>
      <c r="E7" s="23"/>
      <c r="F7" s="23"/>
    </row>
    <row r="8" spans="1:66" x14ac:dyDescent="0.25">
      <c r="C8" s="23"/>
      <c r="D8" s="23"/>
      <c r="E8" s="23"/>
      <c r="F8" s="23"/>
    </row>
    <row r="9" spans="1:66" x14ac:dyDescent="0.25">
      <c r="C9" s="23"/>
      <c r="D9" s="23"/>
      <c r="E9" s="23"/>
      <c r="F9" s="23"/>
    </row>
  </sheetData>
  <mergeCells count="3">
    <mergeCell ref="C3:F9"/>
    <mergeCell ref="C1:Y1"/>
    <mergeCell ref="C2:J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A̳ssets</vt:lpstr>
      <vt:lpstr>B̳ases</vt:lpstr>
      <vt:lpstr>Annual</vt:lpstr>
      <vt:lpstr>Monthly</vt:lpstr>
      <vt:lpstr>Quarterly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ISABELLY TERTULIANO</cp:lastModifiedBy>
  <dcterms:created xsi:type="dcterms:W3CDTF">2024-12-19T13:13:10Z</dcterms:created>
  <dcterms:modified xsi:type="dcterms:W3CDTF">2026-06-02T01:00:16Z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